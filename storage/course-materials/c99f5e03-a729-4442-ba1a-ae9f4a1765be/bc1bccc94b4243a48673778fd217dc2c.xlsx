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 Cost" sheetId="1" r:id="rId5"/>
    <sheet state="visible" name="Fixed cost" sheetId="2" r:id="rId6"/>
    <sheet state="visible" name="Revenue stream" sheetId="3" r:id="rId7"/>
    <sheet state="visible" name="Break Even Point" sheetId="4" r:id="rId8"/>
  </sheets>
  <definedNames/>
  <calcPr/>
</workbook>
</file>

<file path=xl/sharedStrings.xml><?xml version="1.0" encoding="utf-8"?>
<sst xmlns="http://schemas.openxmlformats.org/spreadsheetml/2006/main" count="754" uniqueCount="349">
  <si>
    <t>Monthly Variable Cost</t>
  </si>
  <si>
    <t>Category (Hạng mục)</t>
  </si>
  <si>
    <t>Traditional (80 units)</t>
  </si>
  <si>
    <t>Innovative (80 units)</t>
  </si>
  <si>
    <t>Combo (20 sets)</t>
  </si>
  <si>
    <t>Wholesale (40 units)</t>
  </si>
  <si>
    <t>Total Monthly</t>
  </si>
  <si>
    <t>Unit Variable Cost</t>
  </si>
  <si>
    <t>42.000 đ</t>
  </si>
  <si>
    <t>47.000 đ</t>
  </si>
  <si>
    <t>79.000 đ</t>
  </si>
  <si>
    <t>10,580,000 đ</t>
  </si>
  <si>
    <t>Main Ingredients &amp; Flavoring</t>
  </si>
  <si>
    <t>1,200,000 đ</t>
  </si>
  <si>
    <t>1,360,000 đ</t>
  </si>
  <si>
    <t>640.000 đ</t>
  </si>
  <si>
    <t>680.000 đ</t>
  </si>
  <si>
    <t>3,880,000 đ</t>
  </si>
  <si>
    <t>Premium Packaging &amp; Kraft Boxes</t>
  </si>
  <si>
    <t>1,520,000 đ</t>
  </si>
  <si>
    <t>580.000 đ</t>
  </si>
  <si>
    <t>760.000 đ</t>
  </si>
  <si>
    <t>4,220,000 đ</t>
  </si>
  <si>
    <t>Labels, Trays &amp; Accessories</t>
  </si>
  <si>
    <t>320.000  đ</t>
  </si>
  <si>
    <t>320.000 đ</t>
  </si>
  <si>
    <t>100.000 đ</t>
  </si>
  <si>
    <t>160.000 đ</t>
  </si>
  <si>
    <t>900.000 đ</t>
  </si>
  <si>
    <t>Processing Labor</t>
  </si>
  <si>
    <t>400.000 đ</t>
  </si>
  <si>
    <t>180.000 đ</t>
  </si>
  <si>
    <t>200.000 đ</t>
  </si>
  <si>
    <t>1,100,000 đ</t>
  </si>
  <si>
    <t>Estimated Shipping Fees</t>
  </si>
  <si>
    <t>80.000 đ</t>
  </si>
  <si>
    <t>480.000 đ</t>
  </si>
  <si>
    <t>TOTAL MONTHLY VARIABLE COST</t>
  </si>
  <si>
    <t>2,640,000 đ</t>
  </si>
  <si>
    <t>3,840,000  đ</t>
  </si>
  <si>
    <t>600.000 đ</t>
  </si>
  <si>
    <t>8,600,000 đ</t>
  </si>
  <si>
    <t>No</t>
  </si>
  <si>
    <t>Cost category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</si>
  <si>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</si>
  <si>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</si>
  <si>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</si>
  <si>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</si>
  <si>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</si>
  <si>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</si>
  <si>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</si>
  <si>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</si>
  <si>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</si>
  <si>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</si>
  <si>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</si>
  <si>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</si>
  <si>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0 đ</t>
  </si>
  <si>
    <t>2,772,000 đ</t>
  </si>
  <si>
    <t>2,910,600 đ</t>
  </si>
  <si>
    <t>3,056,130 đ</t>
  </si>
  <si>
    <t>3,208,937 đ</t>
  </si>
  <si>
    <t>3,369,383 đ</t>
  </si>
  <si>
    <t>3,537,853 đ</t>
  </si>
  <si>
    <t>3,714,745 đ</t>
  </si>
  <si>
    <t>3,900,483 đ</t>
  </si>
  <si>
    <t>4,032,000 đ</t>
  </si>
  <si>
    <t>4,233,600 đ</t>
  </si>
  <si>
    <t>4,445,280 đ</t>
  </si>
  <si>
    <t>4,667,544 đ</t>
  </si>
  <si>
    <t>4,900,921 đ</t>
  </si>
  <si>
    <t>5,145,967 đ</t>
  </si>
  <si>
    <t>5,403,266 đ</t>
  </si>
  <si>
    <t>5,673,429 đ</t>
  </si>
  <si>
    <t>1,596,000 đ</t>
  </si>
  <si>
    <t>1,675,800 đ</t>
  </si>
  <si>
    <t>1,759,590 đ</t>
  </si>
  <si>
    <t>1,847,570 đ</t>
  </si>
  <si>
    <t>1,939,948 đ</t>
  </si>
  <si>
    <t>2,036,945 đ</t>
  </si>
  <si>
    <t>2,138,793 đ</t>
  </si>
  <si>
    <t>2,245,732 đ</t>
  </si>
  <si>
    <t>630,000 đ</t>
  </si>
  <si>
    <t>661,500 đ</t>
  </si>
  <si>
    <t>694,575 đ</t>
  </si>
  <si>
    <t>729,304 đ</t>
  </si>
  <si>
    <t>Total of month</t>
  </si>
  <si>
    <t>9,030,000 đ</t>
  </si>
  <si>
    <t>9,481,500 đ</t>
  </si>
  <si>
    <t>9,955,575 đ</t>
  </si>
  <si>
    <t>10,453,355 đ</t>
  </si>
  <si>
    <t>10,976,021 đ</t>
  </si>
  <si>
    <t>11,524,822 đ</t>
  </si>
  <si>
    <t>12,101,064 đ</t>
  </si>
  <si>
    <t>12,706,117 đ</t>
  </si>
  <si>
    <t>Total of year (2026)</t>
  </si>
  <si>
    <t>94,828,454 đ</t>
  </si>
  <si>
    <t>4,095,507 đ</t>
  </si>
  <si>
    <t>4,300,282 đ</t>
  </si>
  <si>
    <t>4,515,296 đ</t>
  </si>
  <si>
    <t>4,741,061 đ</t>
  </si>
  <si>
    <t>4,978,114 đ</t>
  </si>
  <si>
    <t>5,227,020 đ</t>
  </si>
  <si>
    <t>5,488,371 đ</t>
  </si>
  <si>
    <t>5,762,790 đ</t>
  </si>
  <si>
    <t>6,050,930 đ</t>
  </si>
  <si>
    <t>6,353,477 đ</t>
  </si>
  <si>
    <t>6,671,151 đ</t>
  </si>
  <si>
    <t>7,004,709 đ</t>
  </si>
  <si>
    <t>5,957,100 đ</t>
  </si>
  <si>
    <t>6,254,955 đ</t>
  </si>
  <si>
    <t>6,567,703 đ</t>
  </si>
  <si>
    <t>6,896,088 đ</t>
  </si>
  <si>
    <t>7,240,892 đ</t>
  </si>
  <si>
    <t>7,602,937 đ</t>
  </si>
  <si>
    <t>7,983,084 đ</t>
  </si>
  <si>
    <t>8,382,238 đ</t>
  </si>
  <si>
    <t>8,801,350 đ</t>
  </si>
  <si>
    <t>9,241,418 đ</t>
  </si>
  <si>
    <t>9,703,489 đ</t>
  </si>
  <si>
    <t>10,188,663 đ</t>
  </si>
  <si>
    <t>2,358,019 đ</t>
  </si>
  <si>
    <t>2,475,920 đ</t>
  </si>
  <si>
    <t>2,599,716 đ</t>
  </si>
  <si>
    <t>2,729,702 đ</t>
  </si>
  <si>
    <t>2,866,187 đ</t>
  </si>
  <si>
    <t>3,009,496 đ</t>
  </si>
  <si>
    <t>3,159,971 d</t>
  </si>
  <si>
    <t>3,317,970 đ</t>
  </si>
  <si>
    <t>3,483,869 đ</t>
  </si>
  <si>
    <t>3,658,062 đ</t>
  </si>
  <si>
    <t>3,840,965 đ</t>
  </si>
  <si>
    <t>4,033,013 đ</t>
  </si>
  <si>
    <t>930,797 đ</t>
  </si>
  <si>
    <t>1,026,204 đ</t>
  </si>
  <si>
    <t>1,077,514 đ</t>
  </si>
  <si>
    <t>1,131,390 đ</t>
  </si>
  <si>
    <t>1,187,959 đ</t>
  </si>
  <si>
    <t>1,247,357 đ</t>
  </si>
  <si>
    <t>1,309,725 đ</t>
  </si>
  <si>
    <t>1,375,211 đ</t>
  </si>
  <si>
    <t>1,443,972 đ</t>
  </si>
  <si>
    <t>1,516,171 đ</t>
  </si>
  <si>
    <t>1,591,980 đ</t>
  </si>
  <si>
    <t>13,341,423 đ</t>
  </si>
  <si>
    <t>14,008,494 đ</t>
  </si>
  <si>
    <t>14,708,919 đ</t>
  </si>
  <si>
    <t>15,444,365 đ</t>
  </si>
  <si>
    <t>16,216,583 đ</t>
  </si>
  <si>
    <t>17,027,412 đ</t>
  </si>
  <si>
    <t>17,878,783 đ</t>
  </si>
  <si>
    <t>18,772,723 đ</t>
  </si>
  <si>
    <t>19,711,360 đ</t>
  </si>
  <si>
    <t>20,696,929 đ</t>
  </si>
  <si>
    <t>21,731,776 đ</t>
  </si>
  <si>
    <t>22,818,365 đ</t>
  </si>
  <si>
    <t>212,365,137 đ</t>
  </si>
  <si>
    <t>8,055,415 đ</t>
  </si>
  <si>
    <t>8,860,957 đ</t>
  </si>
  <si>
    <t>7,974,861 đ</t>
  </si>
  <si>
    <t>7,576,118 đ</t>
  </si>
  <si>
    <t>7,727,640 đ</t>
  </si>
  <si>
    <t>7,959,469 đ</t>
  </si>
  <si>
    <t>8,198,253 đ</t>
  </si>
  <si>
    <t>8,444,201 đ</t>
  </si>
  <si>
    <t>9,119,737 đ</t>
  </si>
  <si>
    <t>9,758,119 đ</t>
  </si>
  <si>
    <t>10,733,931 đ</t>
  </si>
  <si>
    <t>11,807,324 đ</t>
  </si>
  <si>
    <t>11,716,962 đ</t>
  </si>
  <si>
    <t>12,888,658 đ</t>
  </si>
  <si>
    <t>11,599,792 đ</t>
  </si>
  <si>
    <t>11,019,802 đ</t>
  </si>
  <si>
    <t>11,240,198</t>
  </si>
  <si>
    <t>11,577,404 đ</t>
  </si>
  <si>
    <t>11,924,726 đ</t>
  </si>
  <si>
    <t>12,282,468 đ</t>
  </si>
  <si>
    <t>13,265,065 đ</t>
  </si>
  <si>
    <t>14,193,620 đ</t>
  </si>
  <si>
    <t>15,612,982 đ</t>
  </si>
  <si>
    <t>17,174,280 đ</t>
  </si>
  <si>
    <t>4,637,965 đ</t>
  </si>
  <si>
    <t>5,101,761 đ</t>
  </si>
  <si>
    <t>4,591,585 đ</t>
  </si>
  <si>
    <t>4,362,006 đ</t>
  </si>
  <si>
    <t>4,449,246 đ</t>
  </si>
  <si>
    <t>4,582,723 đ</t>
  </si>
  <si>
    <t>4,720,205 đ</t>
  </si>
  <si>
    <t>4,861,811 đ</t>
  </si>
  <si>
    <t>5,250,756 đ</t>
  </si>
  <si>
    <t>5,618,309 đ</t>
  </si>
  <si>
    <t>6,180,140 đ</t>
  </si>
  <si>
    <t>6,798,154 đ</t>
  </si>
  <si>
    <t>1,830,777 đ</t>
  </si>
  <si>
    <t>2,013,855 đ</t>
  </si>
  <si>
    <t>1,812,470 đ</t>
  </si>
  <si>
    <t>1,721,847 đ</t>
  </si>
  <si>
    <t>1,756,284 đ</t>
  </si>
  <si>
    <t>1,808,973 đ</t>
  </si>
  <si>
    <t>1,863,242 đ</t>
  </si>
  <si>
    <t>1,919,139 đ</t>
  </si>
  <si>
    <t>2,072,670 đ</t>
  </si>
  <si>
    <t>2,217,757 đ</t>
  </si>
  <si>
    <t>2,439,533 đ</t>
  </si>
  <si>
    <t>2,683,486 đ</t>
  </si>
  <si>
    <t>26,241,119 đ</t>
  </si>
  <si>
    <t>28,865,231 đ</t>
  </si>
  <si>
    <t>25,978,708 đ</t>
  </si>
  <si>
    <t>24,679,773 đ</t>
  </si>
  <si>
    <t>25,173,368 đ</t>
  </si>
  <si>
    <t>25,928,569 đ</t>
  </si>
  <si>
    <t>26,706,426 đ</t>
  </si>
  <si>
    <t>27,507,618 đ</t>
  </si>
  <si>
    <t>29,708,228</t>
  </si>
  <si>
    <t>31,787,805</t>
  </si>
  <si>
    <t>34,966,586</t>
  </si>
  <si>
    <t>38,463,244</t>
  </si>
  <si>
    <t>346,008,675 đ</t>
  </si>
  <si>
    <t>Cost Categories</t>
  </si>
  <si>
    <t xml:space="preserve">Traditional </t>
  </si>
  <si>
    <t>106,236,103 ₫</t>
  </si>
  <si>
    <t xml:space="preserve">Innovative </t>
  </si>
  <si>
    <t>154,527,172 ₫</t>
  </si>
  <si>
    <t xml:space="preserve">Combo </t>
  </si>
  <si>
    <t>61,167,422 ₫</t>
  </si>
  <si>
    <t xml:space="preserve">Wholesale </t>
  </si>
  <si>
    <t>24,077,978 ₫</t>
  </si>
  <si>
    <t>Total</t>
  </si>
  <si>
    <t>Fixed cost-year 2026</t>
  </si>
  <si>
    <t>Fixed cost-year 2027</t>
  </si>
  <si>
    <t>Fixed cost-year 2028</t>
  </si>
  <si>
    <t>Name</t>
  </si>
  <si>
    <t>Unit Price</t>
  </si>
  <si>
    <t>Quantity</t>
  </si>
  <si>
    <t xml:space="preserve"> 1 Year</t>
  </si>
  <si>
    <t>Units</t>
  </si>
  <si>
    <t>1 Năm</t>
  </si>
  <si>
    <t>360 Platform &amp; Audio Maintenance</t>
  </si>
  <si>
    <t>month</t>
  </si>
  <si>
    <t>Utilities (Electricity, Water, Internet)</t>
  </si>
  <si>
    <t>Equipment Depreciation</t>
  </si>
  <si>
    <t>Licenses &amp; Certifications</t>
  </si>
  <si>
    <t>Copyright Fees &amp; Content Production</t>
  </si>
  <si>
    <t>3.600.000 đ</t>
  </si>
  <si>
    <t>Marketing</t>
  </si>
  <si>
    <t>6.000.000 đ</t>
  </si>
  <si>
    <t>2,700,000</t>
  </si>
  <si>
    <t>32.400.000 đ</t>
  </si>
  <si>
    <t>2,835,000</t>
  </si>
  <si>
    <t>3,570,750</t>
  </si>
  <si>
    <t>Fixed costs</t>
  </si>
  <si>
    <t>Month</t>
  </si>
  <si>
    <t>Product/Service</t>
  </si>
  <si>
    <t>Price (VNĐ)</t>
  </si>
  <si>
    <t>Revenue</t>
  </si>
  <si>
    <t>Jan</t>
  </si>
  <si>
    <t>Traditional</t>
  </si>
  <si>
    <t>10,500,000</t>
  </si>
  <si>
    <t>13,500,000</t>
  </si>
  <si>
    <t>Innovative</t>
  </si>
  <si>
    <t>13,300,000</t>
  </si>
  <si>
    <t>17,100,000</t>
  </si>
  <si>
    <t>Combo</t>
  </si>
  <si>
    <t>6,200,000</t>
  </si>
  <si>
    <t>9,300,000</t>
  </si>
  <si>
    <t>Wholesale</t>
  </si>
  <si>
    <t>3,720,000</t>
  </si>
  <si>
    <t>4,960,000</t>
  </si>
  <si>
    <t>Feb</t>
  </si>
  <si>
    <t>7,500,000</t>
  </si>
  <si>
    <t>9,750,000</t>
  </si>
  <si>
    <t>9,500,000</t>
  </si>
  <si>
    <t>12,350,000</t>
  </si>
  <si>
    <t>4,650,000</t>
  </si>
  <si>
    <t>3,100,000</t>
  </si>
  <si>
    <t>Mar</t>
  </si>
  <si>
    <t>5,625,000</t>
  </si>
  <si>
    <t>7,125,000</t>
  </si>
  <si>
    <t>2,480,000</t>
  </si>
  <si>
    <t>Apr</t>
  </si>
  <si>
    <t>6,000,000</t>
  </si>
  <si>
    <t>8,250,000</t>
  </si>
  <si>
    <t>7,600,000</t>
  </si>
  <si>
    <t>10,450,000</t>
  </si>
  <si>
    <t>May</t>
  </si>
  <si>
    <t>6,375,000</t>
  </si>
  <si>
    <t>8,075,000</t>
  </si>
  <si>
    <t>3,875,000</t>
  </si>
  <si>
    <t>Jun</t>
  </si>
  <si>
    <t>6,750,000</t>
  </si>
  <si>
    <t>9,000,000</t>
  </si>
  <si>
    <t>8,550,000</t>
  </si>
  <si>
    <t>11,400,000</t>
  </si>
  <si>
    <t>2,790,000</t>
  </si>
  <si>
    <t>Jul</t>
  </si>
  <si>
    <t>Aug</t>
  </si>
  <si>
    <t>Sep</t>
  </si>
  <si>
    <t>12,000,000</t>
  </si>
  <si>
    <t>15,200,000</t>
  </si>
  <si>
    <t>7,750,000</t>
  </si>
  <si>
    <t>4,340,000</t>
  </si>
  <si>
    <t>Oct</t>
  </si>
  <si>
    <t>9,025,000</t>
  </si>
  <si>
    <t>Nov</t>
  </si>
  <si>
    <t>11,250,000</t>
  </si>
  <si>
    <t>14,250,000</t>
  </si>
  <si>
    <t>Dec</t>
  </si>
  <si>
    <t>15,000,000</t>
  </si>
  <si>
    <t>19,000,000</t>
  </si>
  <si>
    <t>5,425,000</t>
  </si>
  <si>
    <t>10,075,000</t>
  </si>
  <si>
    <t>3,410,000</t>
  </si>
  <si>
    <t>5,270,000</t>
  </si>
  <si>
    <t>TOTAL</t>
  </si>
  <si>
    <t>2.215 units</t>
  </si>
  <si>
    <t>3,325 units</t>
  </si>
  <si>
    <t>256,585,000</t>
  </si>
  <si>
    <t>4,450 units</t>
  </si>
  <si>
    <t>Revenue Stream</t>
  </si>
  <si>
    <t>Items</t>
  </si>
  <si>
    <t>Year 2026</t>
  </si>
  <si>
    <t>Year 2027</t>
  </si>
  <si>
    <t>Year 2028</t>
  </si>
  <si>
    <t>90.000.000 đ</t>
  </si>
  <si>
    <t>77.900.000 đ</t>
  </si>
  <si>
    <t>104.500.000 đ</t>
  </si>
  <si>
    <t>47.275.000 đ</t>
  </si>
  <si>
    <t>33.170.000 đ</t>
  </si>
  <si>
    <t>118.075.000,00 đ</t>
  </si>
  <si>
    <t>Break Even Point</t>
  </si>
  <si>
    <t>No.</t>
  </si>
  <si>
    <t>Break-even analysis with multiple products</t>
  </si>
  <si>
    <t>Unit</t>
  </si>
  <si>
    <t xml:space="preserve">Sales Price per Unit </t>
  </si>
  <si>
    <t>VNĐ</t>
  </si>
  <si>
    <t>75.000 đ</t>
  </si>
  <si>
    <t>95.000 đ</t>
  </si>
  <si>
    <t>Variable Cost per Unit</t>
  </si>
  <si>
    <t>Contribution Margin per Unit (CM)</t>
  </si>
  <si>
    <t>Sales Mix Percentage</t>
  </si>
  <si>
    <t>%</t>
  </si>
  <si>
    <t>Weighted Average Unit CM</t>
  </si>
  <si>
    <t>SUM: Weighted Average CM per Unit</t>
  </si>
  <si>
    <t>Weighted Average Unit Sales Price</t>
  </si>
  <si>
    <t>SUM: Weighted Average SP per Unit</t>
  </si>
  <si>
    <t>Total Break-even Units/month</t>
  </si>
  <si>
    <t>Product</t>
  </si>
  <si>
    <t>Number units of products at BEP</t>
  </si>
  <si>
    <t>Break-even Point in VND</t>
  </si>
  <si>
    <t>SUM: Break-even Point in VND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</si>
</sst>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đ-42A]"/>
    <numFmt numFmtId="165" formatCode="#,##0.00\ [$đ-42A]"/>
    <numFmt numFmtId="166" formatCode="#,##0[$ ₫]"/>
    <numFmt numFmtId="167" formatCode="_-* #,##0\ [$₫-42A]_-;\-* #,##0\ [$₫-42A]_-;_-* &quot;-&quot;\ [$₫-42A]_-;_-@"/>
  </numFmts>
  <fonts count="15">
    <font>
      <sz val="10.0"/>
      <color rgb="FF000000"/>
      <name val="Arial"/>
      <scheme val="minor"/>
    </font>
    <font>
      <sz val="18.0"/>
      <color rgb="FFFFFFFF"/>
      <name val="Arial"/>
      <scheme val="minor"/>
    </font>
    <font/>
    <font>
      <color theme="1"/>
      <name val="&quot;Google Sans Text&quot;"/>
    </font>
    <font>
      <color theme="1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sz val="14.0"/>
      <color theme="1"/>
      <name val="Arial"/>
    </font>
    <font>
      <sz val="11.0"/>
      <color theme="1"/>
      <name val="Arial"/>
    </font>
    <font>
      <color theme="1"/>
      <name val="Arial"/>
    </font>
    <font>
      <sz val="21.0"/>
      <color rgb="FFFFFFFF"/>
      <name val="Times New Roman"/>
    </font>
    <font>
      <b/>
      <sz val="14.0"/>
      <color theme="1"/>
      <name val="Arial"/>
    </font>
    <font>
      <b/>
      <sz val="13.0"/>
      <color theme="1"/>
      <name val="Times New Roman"/>
    </font>
    <font>
      <sz val="13.0"/>
      <color theme="1"/>
      <name val="Times New Roman"/>
    </font>
    <font>
      <b/>
      <sz val="15.0"/>
      <color theme="1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3D85C6"/>
        <bgColor rgb="FF3D85C6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readingOrder="0"/>
    </xf>
    <xf borderId="4" fillId="0" fontId="4" numFmtId="3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readingOrder="0"/>
    </xf>
    <xf borderId="5" fillId="4" fontId="5" numFmtId="0" xfId="0" applyAlignment="1" applyBorder="1" applyFill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8" fillId="5" fontId="6" numFmtId="0" xfId="0" applyAlignment="1" applyBorder="1" applyFill="1" applyFont="1">
      <alignment vertical="bottom"/>
    </xf>
    <xf borderId="4" fillId="5" fontId="6" numFmtId="0" xfId="0" applyAlignment="1" applyBorder="1" applyFont="1">
      <alignment vertical="bottom"/>
    </xf>
    <xf borderId="4" fillId="5" fontId="6" numFmtId="0" xfId="0" applyAlignment="1" applyBorder="1" applyFont="1">
      <alignment horizontal="center" vertical="bottom"/>
    </xf>
    <xf borderId="4" fillId="5" fontId="6" numFmtId="164" xfId="0" applyAlignment="1" applyBorder="1" applyFont="1" applyNumberFormat="1">
      <alignment horizontal="center" vertical="bottom"/>
    </xf>
    <xf borderId="9" fillId="5" fontId="6" numFmtId="0" xfId="0" applyAlignment="1" applyBorder="1" applyFont="1">
      <alignment horizontal="center" vertical="bottom"/>
    </xf>
    <xf borderId="8" fillId="6" fontId="6" numFmtId="0" xfId="0" applyAlignment="1" applyBorder="1" applyFill="1" applyFont="1">
      <alignment horizontal="left" readingOrder="0" vertical="bottom"/>
    </xf>
    <xf borderId="4" fillId="6" fontId="6" numFmtId="0" xfId="0" applyAlignment="1" applyBorder="1" applyFont="1">
      <alignment readingOrder="0" vertical="bottom"/>
    </xf>
    <xf borderId="4" fillId="6" fontId="6" numFmtId="0" xfId="0" applyAlignment="1" applyBorder="1" applyFont="1">
      <alignment horizontal="right" readingOrder="0" vertical="bottom"/>
    </xf>
    <xf borderId="4" fillId="6" fontId="6" numFmtId="164" xfId="0" applyAlignment="1" applyBorder="1" applyFont="1" applyNumberFormat="1">
      <alignment horizontal="right" readingOrder="0" vertical="bottom"/>
    </xf>
    <xf borderId="4" fillId="6" fontId="7" numFmtId="165" xfId="0" applyAlignment="1" applyBorder="1" applyFont="1" applyNumberFormat="1">
      <alignment horizontal="right" readingOrder="0" vertical="bottom"/>
    </xf>
    <xf borderId="8" fillId="6" fontId="8" numFmtId="0" xfId="0" applyAlignment="1" applyBorder="1" applyFont="1">
      <alignment horizontal="left" readingOrder="0" vertical="bottom"/>
    </xf>
    <xf borderId="4" fillId="6" fontId="7" numFmtId="165" xfId="0" applyAlignment="1" applyBorder="1" applyFont="1" applyNumberFormat="1">
      <alignment horizontal="right" vertical="bottom"/>
    </xf>
    <xf borderId="8" fillId="0" fontId="9" numFmtId="0" xfId="0" applyAlignment="1" applyBorder="1" applyFont="1">
      <alignment vertical="bottom"/>
    </xf>
    <xf borderId="4" fillId="7" fontId="6" numFmtId="0" xfId="0" applyAlignment="1" applyBorder="1" applyFill="1" applyFont="1">
      <alignment vertical="bottom"/>
    </xf>
    <xf borderId="10" fillId="7" fontId="6" numFmtId="164" xfId="0" applyAlignment="1" applyBorder="1" applyFont="1" applyNumberFormat="1">
      <alignment horizontal="right" vertical="bottom"/>
    </xf>
    <xf borderId="4" fillId="7" fontId="6" numFmtId="164" xfId="0" applyAlignment="1" applyBorder="1" applyFont="1" applyNumberFormat="1">
      <alignment horizontal="right" vertical="bottom"/>
    </xf>
    <xf borderId="4" fillId="7" fontId="6" numFmtId="164" xfId="0" applyAlignment="1" applyBorder="1" applyFont="1" applyNumberFormat="1">
      <alignment horizontal="right" readingOrder="0" vertical="bottom"/>
    </xf>
    <xf borderId="4" fillId="7" fontId="7" numFmtId="165" xfId="0" applyAlignment="1" applyBorder="1" applyFont="1" applyNumberFormat="1">
      <alignment horizontal="right" readingOrder="0" vertical="bottom"/>
    </xf>
    <xf borderId="11" fillId="0" fontId="9" numFmtId="0" xfId="0" applyAlignment="1" applyBorder="1" applyFont="1">
      <alignment vertical="bottom"/>
    </xf>
    <xf borderId="10" fillId="7" fontId="6" numFmtId="0" xfId="0" applyAlignment="1" applyBorder="1" applyFont="1">
      <alignment vertical="bottom"/>
    </xf>
    <xf borderId="12" fillId="7" fontId="6" numFmtId="164" xfId="0" applyAlignment="1" applyBorder="1" applyFont="1" applyNumberFormat="1">
      <alignment horizontal="center" readingOrder="0" vertical="bottom"/>
    </xf>
    <xf borderId="13" fillId="0" fontId="2" numFmtId="0" xfId="0" applyBorder="1" applyFont="1"/>
    <xf borderId="14" fillId="0" fontId="2" numFmtId="0" xfId="0" applyBorder="1" applyFont="1"/>
    <xf borderId="5" fillId="4" fontId="5" numFmtId="0" xfId="0" applyAlignment="1" applyBorder="1" applyFont="1">
      <alignment horizontal="center" readingOrder="0" vertical="bottom"/>
    </xf>
    <xf borderId="8" fillId="8" fontId="6" numFmtId="0" xfId="0" applyAlignment="1" applyBorder="1" applyFill="1" applyFont="1">
      <alignment vertical="bottom"/>
    </xf>
    <xf borderId="4" fillId="8" fontId="6" numFmtId="0" xfId="0" applyAlignment="1" applyBorder="1" applyFont="1">
      <alignment vertical="bottom"/>
    </xf>
    <xf borderId="4" fillId="8" fontId="6" numFmtId="0" xfId="0" applyAlignment="1" applyBorder="1" applyFont="1">
      <alignment horizontal="center" vertical="bottom"/>
    </xf>
    <xf borderId="4" fillId="8" fontId="6" numFmtId="164" xfId="0" applyAlignment="1" applyBorder="1" applyFont="1" applyNumberFormat="1">
      <alignment horizontal="center" vertical="bottom"/>
    </xf>
    <xf borderId="9" fillId="8" fontId="6" numFmtId="0" xfId="0" applyAlignment="1" applyBorder="1" applyFont="1">
      <alignment horizontal="center" vertical="bottom"/>
    </xf>
    <xf borderId="8" fillId="6" fontId="6" numFmtId="0" xfId="0" applyAlignment="1" applyBorder="1" applyFont="1">
      <alignment horizontal="right" vertical="bottom"/>
    </xf>
    <xf borderId="0" fillId="6" fontId="7" numFmtId="165" xfId="0" applyAlignment="1" applyFont="1" applyNumberFormat="1">
      <alignment horizontal="right" readingOrder="0" vertical="bottom"/>
    </xf>
    <xf borderId="8" fillId="6" fontId="9" numFmtId="0" xfId="0" applyAlignment="1" applyBorder="1" applyFont="1">
      <alignment vertical="bottom"/>
    </xf>
    <xf borderId="4" fillId="7" fontId="7" numFmtId="164" xfId="0" applyAlignment="1" applyBorder="1" applyFont="1" applyNumberFormat="1">
      <alignment horizontal="right" readingOrder="0" vertical="bottom"/>
    </xf>
    <xf borderId="0" fillId="7" fontId="7" numFmtId="165" xfId="0" applyAlignment="1" applyFont="1" applyNumberFormat="1">
      <alignment horizontal="right" readingOrder="0" vertical="bottom"/>
    </xf>
    <xf borderId="4" fillId="7" fontId="7" numFmtId="165" xfId="0" applyAlignment="1" applyBorder="1" applyFont="1" applyNumberFormat="1">
      <alignment horizontal="right" vertical="bottom"/>
    </xf>
    <xf borderId="4" fillId="9" fontId="5" numFmtId="0" xfId="0" applyAlignment="1" applyBorder="1" applyFill="1" applyFont="1">
      <alignment vertical="bottom"/>
    </xf>
    <xf borderId="4" fillId="9" fontId="5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right" vertical="bottom"/>
    </xf>
    <xf borderId="4" fillId="10" fontId="6" numFmtId="0" xfId="0" applyAlignment="1" applyBorder="1" applyFill="1" applyFont="1">
      <alignment readingOrder="0" vertical="bottom"/>
    </xf>
    <xf borderId="4" fillId="0" fontId="6" numFmtId="164" xfId="0" applyAlignment="1" applyBorder="1" applyFont="1" applyNumberFormat="1">
      <alignment horizontal="right" readingOrder="0" vertical="bottom"/>
    </xf>
    <xf borderId="4" fillId="0" fontId="6" numFmtId="164" xfId="0" applyAlignment="1" applyBorder="1" applyFont="1" applyNumberFormat="1">
      <alignment horizontal="right" readingOrder="0" vertical="bottom"/>
    </xf>
    <xf borderId="4" fillId="10" fontId="6" numFmtId="0" xfId="0" applyAlignment="1" applyBorder="1" applyFont="1">
      <alignment horizontal="right" readingOrder="0" vertical="bottom"/>
    </xf>
    <xf borderId="4" fillId="11" fontId="6" numFmtId="0" xfId="0" applyAlignment="1" applyBorder="1" applyFill="1" applyFont="1">
      <alignment horizontal="right" readingOrder="0" vertical="bottom"/>
    </xf>
    <xf borderId="4" fillId="11" fontId="6" numFmtId="0" xfId="0" applyAlignment="1" applyBorder="1" applyFont="1">
      <alignment vertical="bottom"/>
    </xf>
    <xf borderId="4" fillId="11" fontId="6" numFmtId="164" xfId="0" applyAlignment="1" applyBorder="1" applyFont="1" applyNumberFormat="1">
      <alignment horizontal="right" vertical="bottom"/>
    </xf>
    <xf borderId="4" fillId="11" fontId="6" numFmtId="164" xfId="0" applyAlignment="1" applyBorder="1" applyFont="1" applyNumberFormat="1">
      <alignment horizontal="right" readingOrder="0" vertical="bottom"/>
    </xf>
    <xf borderId="1" fillId="12" fontId="10" numFmtId="0" xfId="0" applyAlignment="1" applyBorder="1" applyFill="1" applyFont="1">
      <alignment horizontal="center" vertical="bottom"/>
    </xf>
    <xf borderId="1" fillId="12" fontId="10" numFmtId="0" xfId="0" applyAlignment="1" applyBorder="1" applyFont="1">
      <alignment horizontal="center" readingOrder="0" vertical="bottom"/>
    </xf>
    <xf borderId="4" fillId="8" fontId="5" numFmtId="0" xfId="0" applyAlignment="1" applyBorder="1" applyFont="1">
      <alignment horizontal="center" vertical="bottom"/>
    </xf>
    <xf borderId="4" fillId="8" fontId="5" numFmtId="0" xfId="0" applyAlignment="1" applyBorder="1" applyFont="1">
      <alignment horizontal="center" shrinkToFit="0" vertical="bottom" wrapText="1"/>
    </xf>
    <xf borderId="4" fillId="8" fontId="5" numFmtId="166" xfId="0" applyAlignment="1" applyBorder="1" applyFont="1" applyNumberFormat="1">
      <alignment horizontal="center" shrinkToFit="0" vertical="bottom" wrapText="1"/>
    </xf>
    <xf borderId="4" fillId="8" fontId="5" numFmtId="0" xfId="0" applyAlignment="1" applyBorder="1" applyFont="1">
      <alignment horizontal="center" readingOrder="0" shrinkToFit="0" vertical="bottom" wrapText="1"/>
    </xf>
    <xf borderId="4" fillId="8" fontId="5" numFmtId="167" xfId="0" applyAlignment="1" applyBorder="1" applyFont="1" applyNumberFormat="1">
      <alignment horizontal="center" shrinkToFit="0" vertical="bottom" wrapText="1"/>
    </xf>
    <xf borderId="15" fillId="8" fontId="6" numFmtId="0" xfId="0" applyAlignment="1" applyBorder="1" applyFont="1">
      <alignment horizontal="center"/>
    </xf>
    <xf borderId="4" fillId="8" fontId="7" numFmtId="0" xfId="0" applyAlignment="1" applyBorder="1" applyFont="1">
      <alignment shrinkToFit="0" vertical="bottom" wrapText="1"/>
    </xf>
    <xf borderId="4" fillId="8" fontId="7" numFmtId="165" xfId="0" applyAlignment="1" applyBorder="1" applyFont="1" applyNumberFormat="1">
      <alignment horizontal="center" vertical="bottom"/>
    </xf>
    <xf borderId="4" fillId="8" fontId="6" numFmtId="0" xfId="0" applyAlignment="1" applyBorder="1" applyFont="1">
      <alignment horizontal="center" shrinkToFit="0" vertical="bottom" wrapText="1"/>
    </xf>
    <xf borderId="4" fillId="8" fontId="6" numFmtId="165" xfId="0" applyAlignment="1" applyBorder="1" applyFont="1" applyNumberFormat="1">
      <alignment horizontal="center" vertical="bottom"/>
    </xf>
    <xf borderId="4" fillId="8" fontId="7" numFmtId="165" xfId="0" applyAlignment="1" applyBorder="1" applyFont="1" applyNumberFormat="1">
      <alignment horizontal="center" readingOrder="0" vertical="bottom"/>
    </xf>
    <xf borderId="4" fillId="8" fontId="5" numFmtId="165" xfId="0" applyAlignment="1" applyBorder="1" applyFont="1" applyNumberFormat="1">
      <alignment horizontal="center"/>
    </xf>
    <xf borderId="16" fillId="8" fontId="6" numFmtId="0" xfId="0" applyAlignment="1" applyBorder="1" applyFont="1">
      <alignment horizontal="center" readingOrder="0"/>
    </xf>
    <xf borderId="4" fillId="8" fontId="6" numFmtId="0" xfId="0" applyAlignment="1" applyBorder="1" applyFont="1">
      <alignment horizontal="center"/>
    </xf>
    <xf borderId="4" fillId="8" fontId="6" numFmtId="165" xfId="0" applyAlignment="1" applyBorder="1" applyFont="1" applyNumberFormat="1">
      <alignment horizontal="center"/>
    </xf>
    <xf borderId="0" fillId="8" fontId="5" numFmtId="165" xfId="0" applyAlignment="1" applyFont="1" applyNumberFormat="1">
      <alignment horizontal="center"/>
    </xf>
    <xf borderId="17" fillId="8" fontId="6" numFmtId="0" xfId="0" applyAlignment="1" applyBorder="1" applyFont="1">
      <alignment horizontal="center" readingOrder="0"/>
    </xf>
    <xf borderId="4" fillId="8" fontId="6" numFmtId="0" xfId="0" applyAlignment="1" applyBorder="1" applyFont="1">
      <alignment horizontal="center" readingOrder="0" vertical="bottom"/>
    </xf>
    <xf borderId="4" fillId="8" fontId="5" numFmtId="165" xfId="0" applyAlignment="1" applyBorder="1" applyFont="1" applyNumberFormat="1">
      <alignment horizontal="center" vertical="bottom"/>
    </xf>
    <xf borderId="15" fillId="8" fontId="6" numFmtId="0" xfId="0" applyAlignment="1" applyBorder="1" applyFont="1">
      <alignment horizontal="center" readingOrder="0" vertical="bottom"/>
    </xf>
    <xf borderId="17" fillId="8" fontId="6" numFmtId="0" xfId="0" applyAlignment="1" applyBorder="1" applyFont="1">
      <alignment horizontal="center" readingOrder="0" vertical="bottom"/>
    </xf>
    <xf borderId="4" fillId="8" fontId="9" numFmtId="0" xfId="0" applyAlignment="1" applyBorder="1" applyFont="1">
      <alignment vertical="bottom"/>
    </xf>
    <xf borderId="1" fillId="8" fontId="5" numFmtId="0" xfId="0" applyAlignment="1" applyBorder="1" applyFont="1">
      <alignment shrinkToFit="0" vertical="bottom" wrapText="1"/>
    </xf>
    <xf borderId="2" fillId="8" fontId="5" numFmtId="165" xfId="0" applyAlignment="1" applyBorder="1" applyFont="1" applyNumberFormat="1">
      <alignment horizontal="center" readingOrder="0" vertical="bottom"/>
    </xf>
    <xf borderId="15" fillId="8" fontId="5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shrinkToFit="0" wrapText="1"/>
    </xf>
    <xf borderId="0" fillId="8" fontId="6" numFmtId="165" xfId="0" applyAlignment="1" applyFont="1" applyNumberFormat="1">
      <alignment horizontal="center"/>
    </xf>
    <xf borderId="4" fillId="8" fontId="5" numFmtId="0" xfId="0" applyAlignment="1" applyBorder="1" applyFont="1">
      <alignment shrinkToFit="0" vertical="bottom" wrapText="1"/>
    </xf>
    <xf borderId="15" fillId="8" fontId="6" numFmtId="165" xfId="0" applyAlignment="1" applyBorder="1" applyFont="1" applyNumberFormat="1">
      <alignment horizontal="center" vertical="bottom"/>
    </xf>
    <xf borderId="0" fillId="13" fontId="11" numFmtId="0" xfId="0" applyAlignment="1" applyFill="1" applyFont="1">
      <alignment horizontal="center" readingOrder="0" vertical="bottom"/>
    </xf>
    <xf borderId="4" fillId="13" fontId="11" numFmtId="0" xfId="0" applyAlignment="1" applyBorder="1" applyFont="1">
      <alignment horizontal="center" vertical="bottom"/>
    </xf>
    <xf borderId="15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bottom"/>
    </xf>
    <xf borderId="4" fillId="0" fontId="7" numFmtId="3" xfId="0" applyAlignment="1" applyBorder="1" applyFont="1" applyNumberFormat="1">
      <alignment horizontal="center" readingOrder="0" vertical="bottom"/>
    </xf>
    <xf borderId="4" fillId="0" fontId="7" numFmtId="165" xfId="0" applyAlignment="1" applyBorder="1" applyFont="1" applyNumberFormat="1">
      <alignment horizontal="center" vertical="bottom"/>
    </xf>
    <xf borderId="16" fillId="0" fontId="2" numFmtId="0" xfId="0" applyBorder="1" applyFont="1"/>
    <xf borderId="17" fillId="0" fontId="2" numFmtId="0" xfId="0" applyBorder="1" applyFont="1"/>
    <xf borderId="15" fillId="0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center" readingOrder="0" vertical="bottom"/>
    </xf>
    <xf borderId="4" fillId="4" fontId="7" numFmtId="165" xfId="0" applyAlignment="1" applyBorder="1" applyFont="1" applyNumberFormat="1">
      <alignment horizontal="center" readingOrder="0" vertical="bottom"/>
    </xf>
    <xf borderId="4" fillId="4" fontId="7" numFmtId="165" xfId="0" applyAlignment="1" applyBorder="1" applyFont="1" applyNumberFormat="1">
      <alignment horizontal="center" vertical="bottom"/>
    </xf>
    <xf borderId="1" fillId="14" fontId="12" numFmtId="0" xfId="0" applyAlignment="1" applyBorder="1" applyFill="1" applyFont="1">
      <alignment horizontal="center" vertical="bottom"/>
    </xf>
    <xf borderId="4" fillId="0" fontId="13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horizontal="center" readingOrder="0" vertical="bottom"/>
    </xf>
    <xf borderId="4" fillId="0" fontId="6" numFmtId="164" xfId="0" applyAlignment="1" applyBorder="1" applyFont="1" applyNumberFormat="1">
      <alignment horizontal="center" readingOrder="0" vertical="bottom"/>
    </xf>
    <xf borderId="4" fillId="0" fontId="5" numFmtId="164" xfId="0" applyAlignment="1" applyBorder="1" applyFont="1" applyNumberFormat="1">
      <alignment horizontal="center" readingOrder="0" vertical="bottom"/>
    </xf>
    <xf borderId="4" fillId="2" fontId="13" numFmtId="0" xfId="0" applyAlignment="1" applyBorder="1" applyFont="1">
      <alignment horizontal="center" vertical="bottom"/>
    </xf>
    <xf borderId="4" fillId="2" fontId="5" numFmtId="165" xfId="0" applyAlignment="1" applyBorder="1" applyFont="1" applyNumberFormat="1">
      <alignment horizontal="center" readingOrder="0" vertical="bottom"/>
    </xf>
    <xf borderId="4" fillId="2" fontId="5" numFmtId="164" xfId="0" applyAlignment="1" applyBorder="1" applyFont="1" applyNumberFormat="1">
      <alignment horizontal="center" readingOrder="0" vertical="bottom"/>
    </xf>
    <xf borderId="1" fillId="15" fontId="14" numFmtId="0" xfId="0" applyAlignment="1" applyBorder="1" applyFill="1" applyFont="1">
      <alignment horizontal="center" readingOrder="0" vertical="bottom"/>
    </xf>
    <xf borderId="4" fillId="16" fontId="6" numFmtId="0" xfId="0" applyAlignment="1" applyBorder="1" applyFill="1" applyFont="1">
      <alignment vertical="bottom"/>
    </xf>
    <xf borderId="4" fillId="16" fontId="6" numFmtId="0" xfId="0" applyAlignment="1" applyBorder="1" applyFont="1">
      <alignment horizontal="center" vertical="bottom"/>
    </xf>
    <xf borderId="4" fillId="16" fontId="6" numFmtId="164" xfId="0" applyAlignment="1" applyBorder="1" applyFont="1" applyNumberFormat="1">
      <alignment horizontal="center" readingOrder="0" vertical="bottom"/>
    </xf>
    <xf borderId="4" fillId="6" fontId="6" numFmtId="0" xfId="0" applyAlignment="1" applyBorder="1" applyFont="1">
      <alignment horizontal="right" vertical="bottom"/>
    </xf>
    <xf borderId="4" fillId="6" fontId="6" numFmtId="0" xfId="0" applyAlignment="1" applyBorder="1" applyFont="1">
      <alignment vertical="bottom"/>
    </xf>
    <xf borderId="4" fillId="6" fontId="6" numFmtId="165" xfId="0" applyAlignment="1" applyBorder="1" applyFont="1" applyNumberFormat="1">
      <alignment horizontal="right" readingOrder="0" vertical="bottom"/>
    </xf>
    <xf borderId="4" fillId="6" fontId="6" numFmtId="3" xfId="0" applyAlignment="1" applyBorder="1" applyFont="1" applyNumberFormat="1">
      <alignment horizontal="right" vertical="bottom"/>
    </xf>
    <xf borderId="0" fillId="6" fontId="6" numFmtId="3" xfId="0" applyAlignment="1" applyFont="1" applyNumberFormat="1">
      <alignment horizontal="right" vertical="bottom"/>
    </xf>
    <xf borderId="4" fillId="6" fontId="6" numFmtId="9" xfId="0" applyAlignment="1" applyBorder="1" applyFont="1" applyNumberFormat="1">
      <alignment horizontal="right" vertical="bottom"/>
    </xf>
    <xf borderId="1" fillId="6" fontId="6" numFmtId="3" xfId="0" applyAlignment="1" applyBorder="1" applyFont="1" applyNumberFormat="1">
      <alignment horizontal="center" readingOrder="0" vertical="bottom"/>
    </xf>
    <xf borderId="1" fillId="6" fontId="6" numFmtId="3" xfId="0" applyAlignment="1" applyBorder="1" applyFont="1" applyNumberFormat="1">
      <alignment horizontal="center" vertical="bottom"/>
    </xf>
    <xf borderId="1" fillId="6" fontId="6" numFmtId="1" xfId="0" applyAlignment="1" applyBorder="1" applyFont="1" applyNumberFormat="1">
      <alignment horizontal="center" vertical="bottom"/>
    </xf>
    <xf borderId="4" fillId="6" fontId="6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9.75"/>
    <col customWidth="1" min="3" max="3" width="25.63"/>
    <col customWidth="1" min="4" max="4" width="25.25"/>
    <col customWidth="1" min="5" max="5" width="28.5"/>
    <col customWidth="1" min="6" max="6" width="19.75"/>
    <col customWidth="1" min="7" max="7" width="18.75"/>
    <col customWidth="1" min="8" max="8" width="19.25"/>
    <col customWidth="1" min="9" max="9" width="19.38"/>
    <col customWidth="1" min="10" max="11" width="19.63"/>
    <col customWidth="1" min="12" max="12" width="18.75"/>
    <col customWidth="1" min="13" max="13" width="19.38"/>
    <col customWidth="1" min="14" max="14" width="21.13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6" t="s">
        <v>8</v>
      </c>
      <c r="C3" s="6" t="s">
        <v>9</v>
      </c>
      <c r="D3" s="6" t="s">
        <v>10</v>
      </c>
      <c r="E3" s="6" t="s">
        <v>9</v>
      </c>
      <c r="F3" s="7" t="s">
        <v>11</v>
      </c>
    </row>
    <row r="4">
      <c r="A4" s="5" t="s">
        <v>12</v>
      </c>
      <c r="B4" s="7" t="s">
        <v>13</v>
      </c>
      <c r="C4" s="7" t="s">
        <v>14</v>
      </c>
      <c r="D4" s="6" t="s">
        <v>15</v>
      </c>
      <c r="E4" s="6" t="s">
        <v>16</v>
      </c>
      <c r="F4" s="7" t="s">
        <v>17</v>
      </c>
    </row>
    <row r="5">
      <c r="A5" s="5" t="s">
        <v>18</v>
      </c>
      <c r="B5" s="7" t="s">
        <v>14</v>
      </c>
      <c r="C5" s="7" t="s">
        <v>19</v>
      </c>
      <c r="D5" s="6" t="s">
        <v>20</v>
      </c>
      <c r="E5" s="6" t="s">
        <v>21</v>
      </c>
      <c r="F5" s="7" t="s">
        <v>22</v>
      </c>
    </row>
    <row r="6">
      <c r="A6" s="5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</row>
    <row r="7">
      <c r="A7" s="5" t="s">
        <v>29</v>
      </c>
      <c r="B7" s="6" t="s">
        <v>25</v>
      </c>
      <c r="C7" s="6" t="s">
        <v>30</v>
      </c>
      <c r="D7" s="6" t="s">
        <v>31</v>
      </c>
      <c r="E7" s="6" t="s">
        <v>32</v>
      </c>
      <c r="F7" s="7" t="s">
        <v>33</v>
      </c>
    </row>
    <row r="8">
      <c r="A8" s="5" t="s">
        <v>34</v>
      </c>
      <c r="B8" s="6" t="s">
        <v>27</v>
      </c>
      <c r="C8" s="6" t="s">
        <v>27</v>
      </c>
      <c r="D8" s="6" t="s">
        <v>35</v>
      </c>
      <c r="E8" s="6" t="s">
        <v>35</v>
      </c>
      <c r="F8" s="6" t="s">
        <v>36</v>
      </c>
    </row>
    <row r="9">
      <c r="A9" s="5" t="s">
        <v>37</v>
      </c>
      <c r="B9" s="7" t="s">
        <v>38</v>
      </c>
      <c r="C9" s="7" t="s">
        <v>39</v>
      </c>
      <c r="D9" s="7" t="s">
        <v>19</v>
      </c>
      <c r="E9" s="6" t="s">
        <v>40</v>
      </c>
      <c r="F9" s="7" t="s">
        <v>41</v>
      </c>
    </row>
    <row r="11">
      <c r="A11" s="8">
        <v>2026.0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>
      <c r="A12" s="11" t="s">
        <v>42</v>
      </c>
      <c r="B12" s="12" t="s">
        <v>43</v>
      </c>
      <c r="C12" s="13" t="s">
        <v>44</v>
      </c>
      <c r="D12" s="14" t="s">
        <v>45</v>
      </c>
      <c r="E12" s="13" t="s">
        <v>46</v>
      </c>
      <c r="F12" s="13" t="s">
        <v>47</v>
      </c>
      <c r="G12" s="13" t="s">
        <v>48</v>
      </c>
      <c r="H12" s="13" t="s">
        <v>49</v>
      </c>
      <c r="I12" s="13" t="s">
        <v>50</v>
      </c>
      <c r="J12" s="13" t="s">
        <v>51</v>
      </c>
      <c r="K12" s="13" t="s">
        <v>52</v>
      </c>
      <c r="L12" s="13" t="s">
        <v>53</v>
      </c>
      <c r="M12" s="13" t="s">
        <v>54</v>
      </c>
      <c r="N12" s="15" t="s">
        <v>55</v>
      </c>
    </row>
    <row r="13">
      <c r="A13" s="16">
        <v>1.0</v>
      </c>
      <c r="B13" s="17" t="s">
        <v>2</v>
      </c>
      <c r="C13" s="18" t="s">
        <v>56</v>
      </c>
      <c r="D13" s="18" t="s">
        <v>56</v>
      </c>
      <c r="E13" s="18" t="s">
        <v>56</v>
      </c>
      <c r="F13" s="18" t="s">
        <v>38</v>
      </c>
      <c r="G13" s="19" t="s">
        <v>57</v>
      </c>
      <c r="H13" s="19" t="s">
        <v>58</v>
      </c>
      <c r="I13" s="19" t="s">
        <v>59</v>
      </c>
      <c r="J13" s="19" t="s">
        <v>60</v>
      </c>
      <c r="K13" s="20" t="s">
        <v>61</v>
      </c>
      <c r="L13" s="20" t="s">
        <v>62</v>
      </c>
      <c r="M13" s="20" t="s">
        <v>63</v>
      </c>
      <c r="N13" s="20" t="s">
        <v>64</v>
      </c>
    </row>
    <row r="14">
      <c r="A14" s="21">
        <v>2.0</v>
      </c>
      <c r="B14" s="17" t="s">
        <v>3</v>
      </c>
      <c r="C14" s="18" t="s">
        <v>56</v>
      </c>
      <c r="D14" s="18" t="s">
        <v>56</v>
      </c>
      <c r="E14" s="18" t="s">
        <v>56</v>
      </c>
      <c r="F14" s="18" t="s">
        <v>39</v>
      </c>
      <c r="G14" s="19" t="s">
        <v>65</v>
      </c>
      <c r="H14" s="19" t="s">
        <v>66</v>
      </c>
      <c r="I14" s="19" t="s">
        <v>67</v>
      </c>
      <c r="J14" s="19" t="s">
        <v>68</v>
      </c>
      <c r="K14" s="20" t="s">
        <v>69</v>
      </c>
      <c r="L14" s="20" t="s">
        <v>70</v>
      </c>
      <c r="M14" s="20" t="s">
        <v>71</v>
      </c>
      <c r="N14" s="20" t="s">
        <v>72</v>
      </c>
    </row>
    <row r="15">
      <c r="A15" s="21">
        <v>3.0</v>
      </c>
      <c r="B15" s="17" t="s">
        <v>4</v>
      </c>
      <c r="C15" s="18" t="s">
        <v>56</v>
      </c>
      <c r="D15" s="18" t="s">
        <v>56</v>
      </c>
      <c r="E15" s="18" t="s">
        <v>56</v>
      </c>
      <c r="F15" s="18" t="s">
        <v>19</v>
      </c>
      <c r="G15" s="19" t="s">
        <v>73</v>
      </c>
      <c r="H15" s="19" t="s">
        <v>74</v>
      </c>
      <c r="I15" s="19" t="s">
        <v>75</v>
      </c>
      <c r="J15" s="19" t="s">
        <v>76</v>
      </c>
      <c r="K15" s="20" t="s">
        <v>77</v>
      </c>
      <c r="L15" s="20" t="s">
        <v>78</v>
      </c>
      <c r="M15" s="20" t="s">
        <v>79</v>
      </c>
      <c r="N15" s="20" t="s">
        <v>80</v>
      </c>
    </row>
    <row r="16">
      <c r="A16" s="16">
        <v>4.0</v>
      </c>
      <c r="B16" s="17" t="s">
        <v>5</v>
      </c>
      <c r="C16" s="18" t="s">
        <v>56</v>
      </c>
      <c r="D16" s="18" t="s">
        <v>56</v>
      </c>
      <c r="E16" s="18" t="s">
        <v>56</v>
      </c>
      <c r="F16" s="18" t="s">
        <v>40</v>
      </c>
      <c r="G16" s="19" t="s">
        <v>81</v>
      </c>
      <c r="H16" s="19" t="s">
        <v>82</v>
      </c>
      <c r="I16" s="19" t="s">
        <v>83</v>
      </c>
      <c r="J16" s="19" t="s">
        <v>84</v>
      </c>
      <c r="K16" s="22">
        <v>765.769</v>
      </c>
      <c r="L16" s="22">
        <v>804.057</v>
      </c>
      <c r="M16" s="22">
        <v>844.26</v>
      </c>
      <c r="N16" s="22">
        <v>886.473</v>
      </c>
    </row>
    <row r="17">
      <c r="A17" s="23"/>
      <c r="B17" s="24" t="s">
        <v>85</v>
      </c>
      <c r="C17" s="25"/>
      <c r="D17" s="26"/>
      <c r="E17" s="26"/>
      <c r="F17" s="27" t="s">
        <v>41</v>
      </c>
      <c r="G17" s="27" t="s">
        <v>86</v>
      </c>
      <c r="H17" s="27" t="s">
        <v>87</v>
      </c>
      <c r="I17" s="27" t="s">
        <v>88</v>
      </c>
      <c r="J17" s="27" t="s">
        <v>89</v>
      </c>
      <c r="K17" s="28" t="s">
        <v>90</v>
      </c>
      <c r="L17" s="28" t="s">
        <v>91</v>
      </c>
      <c r="M17" s="28" t="s">
        <v>92</v>
      </c>
      <c r="N17" s="28" t="s">
        <v>93</v>
      </c>
    </row>
    <row r="18">
      <c r="A18" s="29"/>
      <c r="B18" s="30" t="s">
        <v>94</v>
      </c>
      <c r="C18" s="31" t="s">
        <v>95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3"/>
    </row>
    <row r="20">
      <c r="A20" s="34">
        <v>2027.0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>
      <c r="A21" s="35" t="s">
        <v>42</v>
      </c>
      <c r="B21" s="36" t="s">
        <v>43</v>
      </c>
      <c r="C21" s="37" t="s">
        <v>44</v>
      </c>
      <c r="D21" s="38" t="s">
        <v>45</v>
      </c>
      <c r="E21" s="37" t="s">
        <v>46</v>
      </c>
      <c r="F21" s="37" t="s">
        <v>47</v>
      </c>
      <c r="G21" s="37" t="s">
        <v>48</v>
      </c>
      <c r="H21" s="37" t="s">
        <v>49</v>
      </c>
      <c r="I21" s="37" t="s">
        <v>50</v>
      </c>
      <c r="J21" s="37" t="s">
        <v>51</v>
      </c>
      <c r="K21" s="37" t="s">
        <v>52</v>
      </c>
      <c r="L21" s="37" t="s">
        <v>53</v>
      </c>
      <c r="M21" s="37" t="s">
        <v>54</v>
      </c>
      <c r="N21" s="39" t="s">
        <v>55</v>
      </c>
    </row>
    <row r="22">
      <c r="A22" s="40"/>
      <c r="B22" s="17" t="s">
        <v>2</v>
      </c>
      <c r="C22" s="20" t="s">
        <v>96</v>
      </c>
      <c r="D22" s="20" t="s">
        <v>97</v>
      </c>
      <c r="E22" s="20" t="s">
        <v>98</v>
      </c>
      <c r="F22" s="20" t="s">
        <v>99</v>
      </c>
      <c r="G22" s="20" t="s">
        <v>100</v>
      </c>
      <c r="H22" s="20" t="s">
        <v>101</v>
      </c>
      <c r="I22" s="41" t="s">
        <v>102</v>
      </c>
      <c r="J22" s="41" t="s">
        <v>103</v>
      </c>
      <c r="K22" s="41" t="s">
        <v>104</v>
      </c>
      <c r="L22" s="41" t="s">
        <v>105</v>
      </c>
      <c r="M22" s="41" t="s">
        <v>106</v>
      </c>
      <c r="N22" s="41" t="s">
        <v>107</v>
      </c>
    </row>
    <row r="23">
      <c r="A23" s="42"/>
      <c r="B23" s="17" t="s">
        <v>3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112</v>
      </c>
      <c r="H23" s="20" t="s">
        <v>113</v>
      </c>
      <c r="I23" s="41" t="s">
        <v>114</v>
      </c>
      <c r="J23" s="41" t="s">
        <v>115</v>
      </c>
      <c r="K23" s="41" t="s">
        <v>116</v>
      </c>
      <c r="L23" s="41" t="s">
        <v>117</v>
      </c>
      <c r="M23" s="41" t="s">
        <v>118</v>
      </c>
      <c r="N23" s="41" t="s">
        <v>119</v>
      </c>
    </row>
    <row r="24">
      <c r="A24" s="42"/>
      <c r="B24" s="17" t="s">
        <v>4</v>
      </c>
      <c r="C24" s="20" t="s">
        <v>120</v>
      </c>
      <c r="D24" s="20" t="s">
        <v>121</v>
      </c>
      <c r="E24" s="20" t="s">
        <v>122</v>
      </c>
      <c r="F24" s="20" t="s">
        <v>123</v>
      </c>
      <c r="G24" s="20" t="s">
        <v>124</v>
      </c>
      <c r="H24" s="20" t="s">
        <v>125</v>
      </c>
      <c r="I24" s="41" t="s">
        <v>126</v>
      </c>
      <c r="J24" s="41" t="s">
        <v>127</v>
      </c>
      <c r="K24" s="41" t="s">
        <v>128</v>
      </c>
      <c r="L24" s="41" t="s">
        <v>129</v>
      </c>
      <c r="M24" s="41" t="s">
        <v>130</v>
      </c>
      <c r="N24" s="41" t="s">
        <v>131</v>
      </c>
    </row>
    <row r="25">
      <c r="A25" s="40"/>
      <c r="B25" s="17" t="s">
        <v>5</v>
      </c>
      <c r="C25" s="20" t="s">
        <v>132</v>
      </c>
      <c r="D25" s="22">
        <v>977.337</v>
      </c>
      <c r="E25" s="20" t="s">
        <v>133</v>
      </c>
      <c r="F25" s="20" t="s">
        <v>134</v>
      </c>
      <c r="G25" s="20" t="s">
        <v>135</v>
      </c>
      <c r="H25" s="20" t="s">
        <v>136</v>
      </c>
      <c r="I25" s="41" t="s">
        <v>137</v>
      </c>
      <c r="J25" s="41" t="s">
        <v>138</v>
      </c>
      <c r="K25" s="41" t="s">
        <v>139</v>
      </c>
      <c r="L25" s="41" t="s">
        <v>140</v>
      </c>
      <c r="M25" s="41" t="s">
        <v>141</v>
      </c>
      <c r="N25" s="41" t="s">
        <v>142</v>
      </c>
    </row>
    <row r="26">
      <c r="A26" s="23"/>
      <c r="B26" s="24" t="s">
        <v>85</v>
      </c>
      <c r="C26" s="43" t="s">
        <v>143</v>
      </c>
      <c r="D26" s="43" t="s">
        <v>144</v>
      </c>
      <c r="E26" s="43" t="s">
        <v>145</v>
      </c>
      <c r="F26" s="43" t="s">
        <v>146</v>
      </c>
      <c r="G26" s="43" t="s">
        <v>147</v>
      </c>
      <c r="H26" s="43" t="s">
        <v>148</v>
      </c>
      <c r="I26" s="44" t="s">
        <v>149</v>
      </c>
      <c r="J26" s="44" t="s">
        <v>150</v>
      </c>
      <c r="K26" s="44" t="s">
        <v>151</v>
      </c>
      <c r="L26" s="44" t="s">
        <v>152</v>
      </c>
      <c r="M26" s="44" t="s">
        <v>153</v>
      </c>
      <c r="N26" s="44" t="s">
        <v>154</v>
      </c>
    </row>
    <row r="27">
      <c r="A27" s="29"/>
      <c r="B27" s="30" t="s">
        <v>94</v>
      </c>
      <c r="C27" s="31" t="s">
        <v>155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3"/>
    </row>
    <row r="29">
      <c r="A29" s="34">
        <v>2028.0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0"/>
    </row>
    <row r="30">
      <c r="A30" s="35" t="s">
        <v>42</v>
      </c>
      <c r="B30" s="36" t="s">
        <v>43</v>
      </c>
      <c r="C30" s="37" t="s">
        <v>44</v>
      </c>
      <c r="D30" s="38" t="s">
        <v>45</v>
      </c>
      <c r="E30" s="37" t="s">
        <v>46</v>
      </c>
      <c r="F30" s="37" t="s">
        <v>47</v>
      </c>
      <c r="G30" s="37" t="s">
        <v>48</v>
      </c>
      <c r="H30" s="37" t="s">
        <v>49</v>
      </c>
      <c r="I30" s="37" t="s">
        <v>50</v>
      </c>
      <c r="J30" s="37" t="s">
        <v>51</v>
      </c>
      <c r="K30" s="37" t="s">
        <v>52</v>
      </c>
      <c r="L30" s="37" t="s">
        <v>53</v>
      </c>
      <c r="M30" s="37" t="s">
        <v>54</v>
      </c>
      <c r="N30" s="39" t="s">
        <v>55</v>
      </c>
    </row>
    <row r="31">
      <c r="A31" s="40"/>
      <c r="B31" s="17" t="s">
        <v>2</v>
      </c>
      <c r="C31" s="20" t="s">
        <v>156</v>
      </c>
      <c r="D31" s="20" t="s">
        <v>157</v>
      </c>
      <c r="E31" s="20" t="s">
        <v>158</v>
      </c>
      <c r="F31" s="20" t="s">
        <v>159</v>
      </c>
      <c r="G31" s="20" t="s">
        <v>160</v>
      </c>
      <c r="H31" s="20" t="s">
        <v>161</v>
      </c>
      <c r="I31" s="20" t="s">
        <v>162</v>
      </c>
      <c r="J31" s="20" t="s">
        <v>163</v>
      </c>
      <c r="K31" s="20" t="s">
        <v>164</v>
      </c>
      <c r="L31" s="20" t="s">
        <v>165</v>
      </c>
      <c r="M31" s="20" t="s">
        <v>166</v>
      </c>
      <c r="N31" s="20" t="s">
        <v>167</v>
      </c>
    </row>
    <row r="32">
      <c r="A32" s="42"/>
      <c r="B32" s="17" t="s">
        <v>3</v>
      </c>
      <c r="C32" s="20" t="s">
        <v>168</v>
      </c>
      <c r="D32" s="20" t="s">
        <v>169</v>
      </c>
      <c r="E32" s="20" t="s">
        <v>170</v>
      </c>
      <c r="F32" s="20" t="s">
        <v>171</v>
      </c>
      <c r="G32" s="22" t="s">
        <v>172</v>
      </c>
      <c r="H32" s="20" t="s">
        <v>173</v>
      </c>
      <c r="I32" s="20" t="s">
        <v>174</v>
      </c>
      <c r="J32" s="20" t="s">
        <v>175</v>
      </c>
      <c r="K32" s="20" t="s">
        <v>176</v>
      </c>
      <c r="L32" s="20" t="s">
        <v>177</v>
      </c>
      <c r="M32" s="20" t="s">
        <v>178</v>
      </c>
      <c r="N32" s="20" t="s">
        <v>179</v>
      </c>
    </row>
    <row r="33">
      <c r="A33" s="42"/>
      <c r="B33" s="17" t="s">
        <v>4</v>
      </c>
      <c r="C33" s="20" t="s">
        <v>180</v>
      </c>
      <c r="D33" s="20" t="s">
        <v>181</v>
      </c>
      <c r="E33" s="20" t="s">
        <v>182</v>
      </c>
      <c r="F33" s="20" t="s">
        <v>183</v>
      </c>
      <c r="G33" s="20" t="s">
        <v>184</v>
      </c>
      <c r="H33" s="20" t="s">
        <v>185</v>
      </c>
      <c r="I33" s="20" t="s">
        <v>186</v>
      </c>
      <c r="J33" s="20" t="s">
        <v>187</v>
      </c>
      <c r="K33" s="20" t="s">
        <v>188</v>
      </c>
      <c r="L33" s="20" t="s">
        <v>189</v>
      </c>
      <c r="M33" s="20" t="s">
        <v>190</v>
      </c>
      <c r="N33" s="20" t="s">
        <v>191</v>
      </c>
    </row>
    <row r="34">
      <c r="A34" s="40"/>
      <c r="B34" s="17" t="s">
        <v>5</v>
      </c>
      <c r="C34" s="20" t="s">
        <v>192</v>
      </c>
      <c r="D34" s="20" t="s">
        <v>193</v>
      </c>
      <c r="E34" s="20" t="s">
        <v>194</v>
      </c>
      <c r="F34" s="20" t="s">
        <v>195</v>
      </c>
      <c r="G34" s="20" t="s">
        <v>196</v>
      </c>
      <c r="H34" s="20" t="s">
        <v>197</v>
      </c>
      <c r="I34" s="20" t="s">
        <v>198</v>
      </c>
      <c r="J34" s="20" t="s">
        <v>199</v>
      </c>
      <c r="K34" s="20" t="s">
        <v>200</v>
      </c>
      <c r="L34" s="20" t="s">
        <v>201</v>
      </c>
      <c r="M34" s="20" t="s">
        <v>202</v>
      </c>
      <c r="N34" s="20" t="s">
        <v>203</v>
      </c>
    </row>
    <row r="35">
      <c r="A35" s="23"/>
      <c r="B35" s="24" t="s">
        <v>85</v>
      </c>
      <c r="C35" s="43" t="s">
        <v>204</v>
      </c>
      <c r="D35" s="43" t="s">
        <v>205</v>
      </c>
      <c r="E35" s="43" t="s">
        <v>206</v>
      </c>
      <c r="F35" s="43" t="s">
        <v>207</v>
      </c>
      <c r="G35" s="43" t="s">
        <v>208</v>
      </c>
      <c r="H35" s="43" t="s">
        <v>209</v>
      </c>
      <c r="I35" s="28" t="s">
        <v>210</v>
      </c>
      <c r="J35" s="28" t="s">
        <v>211</v>
      </c>
      <c r="K35" s="45" t="s">
        <v>212</v>
      </c>
      <c r="L35" s="45" t="s">
        <v>213</v>
      </c>
      <c r="M35" s="45" t="s">
        <v>214</v>
      </c>
      <c r="N35" s="45" t="s">
        <v>215</v>
      </c>
    </row>
    <row r="36">
      <c r="A36" s="29"/>
      <c r="B36" s="30" t="s">
        <v>94</v>
      </c>
      <c r="C36" s="31" t="s">
        <v>216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3"/>
    </row>
    <row r="39">
      <c r="A39" s="46" t="s">
        <v>42</v>
      </c>
      <c r="B39" s="46" t="s">
        <v>217</v>
      </c>
      <c r="C39" s="47">
        <v>2026.0</v>
      </c>
      <c r="D39" s="47">
        <v>2027.0</v>
      </c>
      <c r="E39" s="47">
        <v>2028.0</v>
      </c>
    </row>
    <row r="40">
      <c r="A40" s="48">
        <v>1.0</v>
      </c>
      <c r="B40" s="49" t="s">
        <v>218</v>
      </c>
      <c r="C40" s="50">
        <v>2.9100131E7</v>
      </c>
      <c r="D40" s="50">
        <v>6.5196712E7</v>
      </c>
      <c r="E40" s="50" t="s">
        <v>219</v>
      </c>
    </row>
    <row r="41">
      <c r="A41" s="48">
        <v>2.0</v>
      </c>
      <c r="B41" s="49" t="s">
        <v>220</v>
      </c>
      <c r="C41" s="51">
        <v>4.2327464E7</v>
      </c>
      <c r="D41" s="50">
        <v>9.4819917E7</v>
      </c>
      <c r="E41" s="50" t="s">
        <v>221</v>
      </c>
    </row>
    <row r="42">
      <c r="A42" s="52">
        <v>3.0</v>
      </c>
      <c r="B42" s="49" t="s">
        <v>222</v>
      </c>
      <c r="C42" s="50">
        <v>1.6754621E7</v>
      </c>
      <c r="D42" s="50">
        <v>3.753289E7</v>
      </c>
      <c r="E42" s="50" t="s">
        <v>223</v>
      </c>
    </row>
    <row r="43">
      <c r="A43" s="52">
        <v>4.0</v>
      </c>
      <c r="B43" s="49" t="s">
        <v>224</v>
      </c>
      <c r="C43" s="50">
        <v>6646238.0</v>
      </c>
      <c r="D43" s="50">
        <v>1.4815618E7</v>
      </c>
      <c r="E43" s="50" t="s">
        <v>225</v>
      </c>
    </row>
    <row r="44">
      <c r="A44" s="53">
        <v>5.0</v>
      </c>
      <c r="B44" s="54" t="s">
        <v>226</v>
      </c>
      <c r="C44" s="55">
        <f t="shared" ref="C44:D44" si="1">SUM(C40:C43)</f>
        <v>94828454</v>
      </c>
      <c r="D44" s="55">
        <f t="shared" si="1"/>
        <v>212365137</v>
      </c>
      <c r="E44" s="56">
        <v>3.46008675E8</v>
      </c>
    </row>
  </sheetData>
  <mergeCells count="7">
    <mergeCell ref="A1:F1"/>
    <mergeCell ref="A11:N11"/>
    <mergeCell ref="C18:N18"/>
    <mergeCell ref="A20:N20"/>
    <mergeCell ref="C27:N27"/>
    <mergeCell ref="A29:N29"/>
    <mergeCell ref="C36:N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63"/>
    <col customWidth="1" min="3" max="3" width="27.38"/>
    <col customWidth="1" min="4" max="4" width="17.38"/>
    <col customWidth="1" min="5" max="5" width="18.63"/>
    <col customWidth="1" min="7" max="7" width="12.38"/>
    <col customWidth="1" min="8" max="8" width="50.63"/>
    <col customWidth="1" min="9" max="9" width="29.63"/>
    <col customWidth="1" min="12" max="12" width="33.63"/>
    <col customWidth="1" min="15" max="15" width="38.38"/>
    <col customWidth="1" min="16" max="16" width="23.13"/>
    <col customWidth="1" min="19" max="19" width="16.13"/>
  </cols>
  <sheetData>
    <row r="1">
      <c r="A1" s="57" t="s">
        <v>227</v>
      </c>
      <c r="B1" s="2"/>
      <c r="C1" s="2"/>
      <c r="D1" s="2"/>
      <c r="E1" s="3"/>
      <c r="G1" s="58" t="s">
        <v>228</v>
      </c>
      <c r="H1" s="2"/>
      <c r="I1" s="2"/>
      <c r="J1" s="2"/>
      <c r="K1" s="2"/>
      <c r="L1" s="3"/>
      <c r="N1" s="58" t="s">
        <v>229</v>
      </c>
      <c r="O1" s="2"/>
      <c r="P1" s="2"/>
      <c r="Q1" s="2"/>
      <c r="R1" s="2"/>
      <c r="S1" s="3"/>
    </row>
    <row r="2">
      <c r="A2" s="59" t="s">
        <v>42</v>
      </c>
      <c r="B2" s="60" t="s">
        <v>230</v>
      </c>
      <c r="C2" s="61" t="s">
        <v>231</v>
      </c>
      <c r="D2" s="60" t="s">
        <v>232</v>
      </c>
      <c r="E2" s="62" t="s">
        <v>233</v>
      </c>
      <c r="G2" s="59" t="s">
        <v>42</v>
      </c>
      <c r="H2" s="60" t="s">
        <v>230</v>
      </c>
      <c r="I2" s="61" t="s">
        <v>231</v>
      </c>
      <c r="J2" s="60" t="s">
        <v>232</v>
      </c>
      <c r="K2" s="60" t="s">
        <v>234</v>
      </c>
      <c r="L2" s="63" t="s">
        <v>235</v>
      </c>
      <c r="N2" s="59" t="s">
        <v>42</v>
      </c>
      <c r="O2" s="60" t="s">
        <v>230</v>
      </c>
      <c r="P2" s="61" t="s">
        <v>231</v>
      </c>
      <c r="Q2" s="60" t="s">
        <v>232</v>
      </c>
      <c r="R2" s="60" t="s">
        <v>234</v>
      </c>
      <c r="S2" s="63" t="s">
        <v>235</v>
      </c>
    </row>
    <row r="3">
      <c r="A3" s="64">
        <v>1.0</v>
      </c>
      <c r="B3" s="65" t="s">
        <v>236</v>
      </c>
      <c r="C3" s="66">
        <v>400.0</v>
      </c>
      <c r="D3" s="67">
        <v>12.0</v>
      </c>
      <c r="E3" s="68">
        <f t="shared" ref="E3:E6" si="1">sum(C3*12)</f>
        <v>4800</v>
      </c>
      <c r="G3" s="64">
        <v>1.0</v>
      </c>
      <c r="H3" s="65" t="s">
        <v>236</v>
      </c>
      <c r="I3" s="69">
        <v>420.0</v>
      </c>
      <c r="J3" s="67">
        <v>12.0</v>
      </c>
      <c r="K3" s="37" t="s">
        <v>237</v>
      </c>
      <c r="L3" s="70">
        <f t="shared" ref="L3:L6" si="2">I3*12</f>
        <v>5040</v>
      </c>
      <c r="N3" s="64">
        <v>1.0</v>
      </c>
      <c r="O3" s="65" t="s">
        <v>236</v>
      </c>
      <c r="P3" s="69">
        <v>529.0</v>
      </c>
      <c r="Q3" s="67">
        <v>12.0</v>
      </c>
      <c r="R3" s="37" t="s">
        <v>237</v>
      </c>
      <c r="S3" s="70">
        <f t="shared" ref="S3:S6" si="3">P3*12</f>
        <v>6348</v>
      </c>
    </row>
    <row r="4">
      <c r="A4" s="71">
        <v>2.0</v>
      </c>
      <c r="B4" s="65" t="s">
        <v>238</v>
      </c>
      <c r="C4" s="66">
        <v>600.0</v>
      </c>
      <c r="D4" s="72">
        <v>12.0</v>
      </c>
      <c r="E4" s="73">
        <f t="shared" si="1"/>
        <v>7200</v>
      </c>
      <c r="G4" s="71">
        <v>2.0</v>
      </c>
      <c r="H4" s="65" t="s">
        <v>238</v>
      </c>
      <c r="I4" s="69">
        <v>630.0</v>
      </c>
      <c r="J4" s="72">
        <v>12.0</v>
      </c>
      <c r="K4" s="72" t="s">
        <v>237</v>
      </c>
      <c r="L4" s="74">
        <f t="shared" si="2"/>
        <v>7560</v>
      </c>
      <c r="N4" s="71">
        <v>2.0</v>
      </c>
      <c r="O4" s="65" t="s">
        <v>238</v>
      </c>
      <c r="P4" s="69">
        <v>793.5</v>
      </c>
      <c r="Q4" s="72">
        <v>12.0</v>
      </c>
      <c r="R4" s="72" t="s">
        <v>237</v>
      </c>
      <c r="S4" s="74">
        <f t="shared" si="3"/>
        <v>9522</v>
      </c>
    </row>
    <row r="5">
      <c r="A5" s="75">
        <v>3.0</v>
      </c>
      <c r="B5" s="65" t="s">
        <v>239</v>
      </c>
      <c r="C5" s="66">
        <v>400.0</v>
      </c>
      <c r="D5" s="37">
        <v>12.0</v>
      </c>
      <c r="E5" s="68">
        <f t="shared" si="1"/>
        <v>4800</v>
      </c>
      <c r="G5" s="75">
        <v>3.0</v>
      </c>
      <c r="H5" s="65" t="s">
        <v>239</v>
      </c>
      <c r="I5" s="69">
        <v>420.0</v>
      </c>
      <c r="J5" s="37">
        <v>12.0</v>
      </c>
      <c r="K5" s="37" t="s">
        <v>237</v>
      </c>
      <c r="L5" s="70">
        <f t="shared" si="2"/>
        <v>5040</v>
      </c>
      <c r="N5" s="75">
        <v>3.0</v>
      </c>
      <c r="O5" s="65" t="s">
        <v>239</v>
      </c>
      <c r="P5" s="69">
        <v>529.0</v>
      </c>
      <c r="Q5" s="37">
        <v>12.0</v>
      </c>
      <c r="R5" s="37" t="s">
        <v>237</v>
      </c>
      <c r="S5" s="70">
        <f t="shared" si="3"/>
        <v>6348</v>
      </c>
    </row>
    <row r="6">
      <c r="A6" s="76">
        <v>4.0</v>
      </c>
      <c r="B6" s="65" t="s">
        <v>240</v>
      </c>
      <c r="C6" s="66">
        <v>500.0</v>
      </c>
      <c r="D6" s="37">
        <v>12.0</v>
      </c>
      <c r="E6" s="68">
        <f t="shared" si="1"/>
        <v>6000</v>
      </c>
      <c r="G6" s="76">
        <v>4.0</v>
      </c>
      <c r="H6" s="65" t="s">
        <v>240</v>
      </c>
      <c r="I6" s="69">
        <v>525.0</v>
      </c>
      <c r="J6" s="37">
        <v>12.0</v>
      </c>
      <c r="K6" s="37" t="s">
        <v>237</v>
      </c>
      <c r="L6" s="77">
        <f t="shared" si="2"/>
        <v>6300</v>
      </c>
      <c r="N6" s="76">
        <v>4.0</v>
      </c>
      <c r="O6" s="65" t="s">
        <v>240</v>
      </c>
      <c r="P6" s="69">
        <v>661.25</v>
      </c>
      <c r="Q6" s="37">
        <v>12.0</v>
      </c>
      <c r="R6" s="37" t="s">
        <v>237</v>
      </c>
      <c r="S6" s="77">
        <f t="shared" si="3"/>
        <v>7935</v>
      </c>
    </row>
    <row r="7">
      <c r="A7" s="78">
        <v>5.0</v>
      </c>
      <c r="B7" s="65" t="s">
        <v>241</v>
      </c>
      <c r="C7" s="66">
        <v>300.0</v>
      </c>
      <c r="D7" s="37">
        <v>12.0</v>
      </c>
      <c r="E7" s="76" t="s">
        <v>242</v>
      </c>
      <c r="G7" s="78">
        <v>5.0</v>
      </c>
      <c r="H7" s="65" t="s">
        <v>241</v>
      </c>
      <c r="I7" s="69">
        <v>315.0</v>
      </c>
      <c r="J7" s="37">
        <v>12.0</v>
      </c>
      <c r="K7" s="37" t="s">
        <v>237</v>
      </c>
      <c r="L7" s="77">
        <f>J7*I7</f>
        <v>3780</v>
      </c>
      <c r="N7" s="78">
        <v>5.0</v>
      </c>
      <c r="O7" s="65" t="s">
        <v>241</v>
      </c>
      <c r="P7" s="69">
        <v>396.75</v>
      </c>
      <c r="Q7" s="37">
        <v>12.0</v>
      </c>
      <c r="R7" s="37" t="s">
        <v>237</v>
      </c>
      <c r="S7" s="77">
        <f>Q7*P7</f>
        <v>4761</v>
      </c>
    </row>
    <row r="8">
      <c r="A8" s="79">
        <v>6.0</v>
      </c>
      <c r="B8" s="65" t="s">
        <v>243</v>
      </c>
      <c r="C8" s="66">
        <v>500.0</v>
      </c>
      <c r="D8" s="37">
        <v>12.0</v>
      </c>
      <c r="E8" s="76" t="s">
        <v>244</v>
      </c>
      <c r="G8" s="79">
        <v>6.0</v>
      </c>
      <c r="H8" s="65" t="s">
        <v>243</v>
      </c>
      <c r="I8" s="69">
        <v>525.0</v>
      </c>
      <c r="J8" s="37">
        <v>12.0</v>
      </c>
      <c r="K8" s="37" t="s">
        <v>237</v>
      </c>
      <c r="L8" s="77">
        <f>I8*12</f>
        <v>6300</v>
      </c>
      <c r="N8" s="79">
        <v>6.0</v>
      </c>
      <c r="O8" s="65" t="s">
        <v>243</v>
      </c>
      <c r="P8" s="69">
        <v>661.25</v>
      </c>
      <c r="Q8" s="37">
        <v>12.0</v>
      </c>
      <c r="R8" s="37" t="s">
        <v>237</v>
      </c>
      <c r="S8" s="77">
        <f>P8*12</f>
        <v>7935</v>
      </c>
    </row>
    <row r="9">
      <c r="A9" s="80"/>
      <c r="B9" s="81" t="s">
        <v>226</v>
      </c>
      <c r="C9" s="82" t="s">
        <v>245</v>
      </c>
      <c r="D9" s="37">
        <v>12.0</v>
      </c>
      <c r="E9" s="76" t="s">
        <v>246</v>
      </c>
      <c r="G9" s="80"/>
      <c r="H9" s="81" t="s">
        <v>226</v>
      </c>
      <c r="I9" s="82" t="s">
        <v>247</v>
      </c>
      <c r="J9" s="37">
        <v>12.0</v>
      </c>
      <c r="K9" s="37" t="s">
        <v>237</v>
      </c>
      <c r="L9" s="83">
        <f>SUM(L2:L8)</f>
        <v>34020</v>
      </c>
      <c r="N9" s="80"/>
      <c r="O9" s="81" t="s">
        <v>226</v>
      </c>
      <c r="P9" s="82" t="s">
        <v>248</v>
      </c>
      <c r="Q9" s="37">
        <v>12.0</v>
      </c>
      <c r="R9" s="37" t="s">
        <v>237</v>
      </c>
      <c r="S9" s="83">
        <f>SUM(S2:S8)</f>
        <v>42849</v>
      </c>
    </row>
    <row r="10">
      <c r="B10" s="84"/>
    </row>
    <row r="11">
      <c r="B11" s="84"/>
    </row>
    <row r="12">
      <c r="B12" s="84"/>
    </row>
    <row r="13">
      <c r="B13" s="84"/>
    </row>
    <row r="14">
      <c r="A14" s="58" t="s">
        <v>249</v>
      </c>
      <c r="B14" s="2"/>
      <c r="C14" s="2"/>
      <c r="D14" s="2"/>
      <c r="E14" s="2"/>
    </row>
    <row r="15">
      <c r="A15" s="59" t="s">
        <v>42</v>
      </c>
      <c r="B15" s="59" t="s">
        <v>230</v>
      </c>
      <c r="C15" s="60">
        <v>2026.0</v>
      </c>
      <c r="D15" s="60">
        <v>2027.0</v>
      </c>
      <c r="E15" s="60">
        <v>2028.0</v>
      </c>
    </row>
    <row r="16">
      <c r="A16" s="64">
        <v>1.0</v>
      </c>
      <c r="B16" s="65" t="s">
        <v>236</v>
      </c>
      <c r="C16" s="68">
        <f t="shared" ref="C16:C19" si="4">sum(C3*12)</f>
        <v>4800</v>
      </c>
      <c r="D16" s="73">
        <f t="shared" ref="D16:D19" si="5">I3*12</f>
        <v>5040</v>
      </c>
      <c r="E16" s="73">
        <f t="shared" ref="E16:E19" si="6">P3*12</f>
        <v>6348</v>
      </c>
    </row>
    <row r="17">
      <c r="A17" s="71">
        <v>2.0</v>
      </c>
      <c r="B17" s="65" t="s">
        <v>238</v>
      </c>
      <c r="C17" s="73">
        <f t="shared" si="4"/>
        <v>7200</v>
      </c>
      <c r="D17" s="73">
        <f t="shared" si="5"/>
        <v>7560</v>
      </c>
      <c r="E17" s="85">
        <f t="shared" si="6"/>
        <v>9522</v>
      </c>
    </row>
    <row r="18">
      <c r="A18" s="75">
        <v>3.0</v>
      </c>
      <c r="B18" s="65" t="s">
        <v>239</v>
      </c>
      <c r="C18" s="68">
        <f t="shared" si="4"/>
        <v>4800</v>
      </c>
      <c r="D18" s="73">
        <f t="shared" si="5"/>
        <v>5040</v>
      </c>
      <c r="E18" s="73">
        <f t="shared" si="6"/>
        <v>6348</v>
      </c>
    </row>
    <row r="19">
      <c r="A19" s="76">
        <v>4.0</v>
      </c>
      <c r="B19" s="65" t="s">
        <v>240</v>
      </c>
      <c r="C19" s="68">
        <f t="shared" si="4"/>
        <v>6000</v>
      </c>
      <c r="D19" s="68">
        <f t="shared" si="5"/>
        <v>6300</v>
      </c>
      <c r="E19" s="68">
        <f t="shared" si="6"/>
        <v>7935</v>
      </c>
    </row>
    <row r="20">
      <c r="A20" s="78">
        <v>5.0</v>
      </c>
      <c r="B20" s="65" t="s">
        <v>241</v>
      </c>
      <c r="C20" s="76" t="s">
        <v>242</v>
      </c>
      <c r="D20" s="68">
        <f>J7*I7</f>
        <v>3780</v>
      </c>
      <c r="E20" s="68">
        <f>Q7*P7</f>
        <v>4761</v>
      </c>
    </row>
    <row r="21">
      <c r="A21" s="79">
        <v>6.0</v>
      </c>
      <c r="B21" s="65" t="s">
        <v>243</v>
      </c>
      <c r="C21" s="76" t="s">
        <v>244</v>
      </c>
      <c r="D21" s="68">
        <f>I8*12</f>
        <v>6300</v>
      </c>
      <c r="E21" s="68">
        <f>P8*12</f>
        <v>7935</v>
      </c>
    </row>
    <row r="22">
      <c r="A22" s="80"/>
      <c r="B22" s="86" t="s">
        <v>226</v>
      </c>
      <c r="C22" s="76" t="s">
        <v>246</v>
      </c>
      <c r="D22" s="68">
        <f>SUM(L2:L8)</f>
        <v>34020</v>
      </c>
      <c r="E22" s="87">
        <f>SUM(S2:S8)</f>
        <v>42849</v>
      </c>
    </row>
    <row r="23">
      <c r="B23" s="84"/>
    </row>
    <row r="24">
      <c r="B24" s="84"/>
    </row>
    <row r="25">
      <c r="B25" s="84"/>
    </row>
    <row r="26">
      <c r="B26" s="84"/>
    </row>
    <row r="27">
      <c r="B27" s="84"/>
    </row>
    <row r="28">
      <c r="B28" s="84"/>
    </row>
    <row r="29">
      <c r="B29" s="84"/>
    </row>
    <row r="30">
      <c r="B30" s="84"/>
    </row>
    <row r="31">
      <c r="B31" s="84"/>
    </row>
    <row r="32">
      <c r="B32" s="84"/>
    </row>
    <row r="33">
      <c r="B33" s="84"/>
    </row>
    <row r="34">
      <c r="B34" s="84"/>
    </row>
    <row r="35">
      <c r="B35" s="84"/>
    </row>
    <row r="36">
      <c r="B36" s="84"/>
    </row>
    <row r="37">
      <c r="B37" s="84"/>
    </row>
    <row r="38">
      <c r="B38" s="84"/>
    </row>
    <row r="39">
      <c r="B39" s="84"/>
    </row>
    <row r="40">
      <c r="B40" s="84"/>
    </row>
    <row r="41">
      <c r="B41" s="84"/>
    </row>
    <row r="42">
      <c r="B42" s="84"/>
    </row>
    <row r="43">
      <c r="B43" s="84"/>
    </row>
    <row r="44">
      <c r="B44" s="84"/>
    </row>
    <row r="45">
      <c r="B45" s="84"/>
    </row>
    <row r="46">
      <c r="B46" s="84"/>
    </row>
    <row r="47">
      <c r="B47" s="84"/>
    </row>
    <row r="48">
      <c r="B48" s="84"/>
    </row>
    <row r="49">
      <c r="B49" s="84"/>
    </row>
    <row r="50">
      <c r="B50" s="84"/>
    </row>
    <row r="51">
      <c r="B51" s="84"/>
    </row>
    <row r="52">
      <c r="B52" s="84"/>
    </row>
    <row r="53">
      <c r="B53" s="84"/>
    </row>
    <row r="54">
      <c r="B54" s="84"/>
    </row>
    <row r="55">
      <c r="B55" s="84"/>
    </row>
    <row r="56">
      <c r="B56" s="84"/>
    </row>
    <row r="57">
      <c r="B57" s="84"/>
    </row>
    <row r="58">
      <c r="B58" s="84"/>
    </row>
    <row r="59">
      <c r="B59" s="84"/>
    </row>
    <row r="60">
      <c r="B60" s="84"/>
    </row>
    <row r="61">
      <c r="B61" s="84"/>
    </row>
    <row r="62">
      <c r="B62" s="84"/>
    </row>
    <row r="63">
      <c r="B63" s="84"/>
    </row>
    <row r="64">
      <c r="B64" s="84"/>
    </row>
    <row r="65">
      <c r="B65" s="84"/>
    </row>
    <row r="66">
      <c r="B66" s="84"/>
    </row>
    <row r="67">
      <c r="B67" s="84"/>
    </row>
    <row r="68">
      <c r="B68" s="84"/>
    </row>
    <row r="69">
      <c r="B69" s="84"/>
    </row>
    <row r="70">
      <c r="B70" s="84"/>
    </row>
    <row r="71">
      <c r="B71" s="84"/>
    </row>
    <row r="72">
      <c r="B72" s="84"/>
    </row>
    <row r="73">
      <c r="B73" s="84"/>
    </row>
    <row r="74">
      <c r="B74" s="84"/>
    </row>
    <row r="75">
      <c r="B75" s="84"/>
    </row>
    <row r="76">
      <c r="B76" s="84"/>
    </row>
    <row r="77">
      <c r="B77" s="84"/>
    </row>
    <row r="78">
      <c r="B78" s="84"/>
    </row>
    <row r="79">
      <c r="B79" s="84"/>
    </row>
    <row r="80">
      <c r="B80" s="84"/>
    </row>
    <row r="81">
      <c r="B81" s="84"/>
    </row>
    <row r="82">
      <c r="B82" s="84"/>
    </row>
    <row r="83">
      <c r="B83" s="84"/>
    </row>
    <row r="84">
      <c r="B84" s="84"/>
    </row>
    <row r="85">
      <c r="B85" s="84"/>
    </row>
    <row r="86">
      <c r="B86" s="84"/>
    </row>
    <row r="87">
      <c r="B87" s="84"/>
    </row>
    <row r="88">
      <c r="B88" s="84"/>
    </row>
    <row r="89">
      <c r="B89" s="84"/>
    </row>
    <row r="90">
      <c r="B90" s="84"/>
    </row>
    <row r="91">
      <c r="B91" s="84"/>
    </row>
    <row r="92">
      <c r="B92" s="84"/>
    </row>
    <row r="93">
      <c r="B93" s="84"/>
    </row>
    <row r="94">
      <c r="B94" s="84"/>
    </row>
    <row r="95">
      <c r="B95" s="84"/>
    </row>
    <row r="96">
      <c r="B96" s="84"/>
    </row>
    <row r="97">
      <c r="B97" s="84"/>
    </row>
    <row r="98">
      <c r="B98" s="84"/>
    </row>
    <row r="99">
      <c r="B99" s="84"/>
    </row>
    <row r="100">
      <c r="B100" s="84"/>
    </row>
    <row r="101">
      <c r="B101" s="84"/>
    </row>
    <row r="102">
      <c r="B102" s="84"/>
    </row>
    <row r="103">
      <c r="B103" s="84"/>
    </row>
    <row r="104">
      <c r="B104" s="84"/>
    </row>
    <row r="105">
      <c r="B105" s="84"/>
    </row>
    <row r="106">
      <c r="B106" s="84"/>
    </row>
    <row r="107">
      <c r="B107" s="84"/>
    </row>
    <row r="108">
      <c r="B108" s="84"/>
    </row>
    <row r="109">
      <c r="B109" s="84"/>
    </row>
    <row r="110">
      <c r="B110" s="84"/>
    </row>
    <row r="111">
      <c r="B111" s="84"/>
    </row>
    <row r="112">
      <c r="B112" s="84"/>
    </row>
    <row r="113">
      <c r="B113" s="84"/>
    </row>
    <row r="114">
      <c r="B114" s="84"/>
    </row>
    <row r="115">
      <c r="B115" s="84"/>
    </row>
    <row r="116">
      <c r="B116" s="84"/>
    </row>
    <row r="117">
      <c r="B117" s="84"/>
    </row>
    <row r="118">
      <c r="B118" s="84"/>
    </row>
    <row r="119">
      <c r="B119" s="84"/>
    </row>
    <row r="120">
      <c r="B120" s="84"/>
    </row>
    <row r="121">
      <c r="B121" s="84"/>
    </row>
    <row r="122">
      <c r="B122" s="84"/>
    </row>
    <row r="123">
      <c r="B123" s="84"/>
    </row>
    <row r="124">
      <c r="B124" s="84"/>
    </row>
    <row r="125">
      <c r="B125" s="84"/>
    </row>
    <row r="126">
      <c r="B126" s="84"/>
    </row>
    <row r="127">
      <c r="B127" s="84"/>
    </row>
    <row r="128">
      <c r="B128" s="84"/>
    </row>
    <row r="129">
      <c r="B129" s="84"/>
    </row>
    <row r="130">
      <c r="B130" s="84"/>
    </row>
    <row r="131">
      <c r="B131" s="84"/>
    </row>
    <row r="132">
      <c r="B132" s="84"/>
    </row>
    <row r="133">
      <c r="B133" s="84"/>
    </row>
    <row r="134">
      <c r="B134" s="84"/>
    </row>
    <row r="135">
      <c r="B135" s="84"/>
    </row>
    <row r="136">
      <c r="B136" s="84"/>
    </row>
    <row r="137">
      <c r="B137" s="84"/>
    </row>
    <row r="138">
      <c r="B138" s="84"/>
    </row>
    <row r="139">
      <c r="B139" s="84"/>
    </row>
    <row r="140">
      <c r="B140" s="84"/>
    </row>
    <row r="141">
      <c r="B141" s="84"/>
    </row>
    <row r="142">
      <c r="B142" s="84"/>
    </row>
    <row r="143">
      <c r="B143" s="84"/>
    </row>
    <row r="144">
      <c r="B144" s="84"/>
    </row>
    <row r="145">
      <c r="B145" s="84"/>
    </row>
    <row r="146">
      <c r="B146" s="84"/>
    </row>
    <row r="147">
      <c r="B147" s="84"/>
    </row>
    <row r="148">
      <c r="B148" s="84"/>
    </row>
    <row r="149">
      <c r="B149" s="84"/>
    </row>
    <row r="150">
      <c r="B150" s="84"/>
    </row>
    <row r="151">
      <c r="B151" s="84"/>
    </row>
    <row r="152">
      <c r="B152" s="84"/>
    </row>
    <row r="153">
      <c r="B153" s="84"/>
    </row>
    <row r="154">
      <c r="B154" s="84"/>
    </row>
    <row r="155">
      <c r="B155" s="84"/>
    </row>
    <row r="156">
      <c r="B156" s="84"/>
    </row>
    <row r="157">
      <c r="B157" s="84"/>
    </row>
    <row r="158">
      <c r="B158" s="84"/>
    </row>
    <row r="159">
      <c r="B159" s="84"/>
    </row>
    <row r="160">
      <c r="B160" s="84"/>
    </row>
    <row r="161">
      <c r="B161" s="84"/>
    </row>
    <row r="162">
      <c r="B162" s="84"/>
    </row>
    <row r="163">
      <c r="B163" s="84"/>
    </row>
    <row r="164">
      <c r="B164" s="84"/>
    </row>
    <row r="165">
      <c r="B165" s="84"/>
    </row>
    <row r="166">
      <c r="B166" s="84"/>
    </row>
    <row r="167">
      <c r="B167" s="84"/>
    </row>
    <row r="168">
      <c r="B168" s="84"/>
    </row>
    <row r="169">
      <c r="B169" s="84"/>
    </row>
    <row r="170">
      <c r="B170" s="84"/>
    </row>
    <row r="171">
      <c r="B171" s="84"/>
    </row>
    <row r="172">
      <c r="B172" s="84"/>
    </row>
    <row r="173">
      <c r="B173" s="84"/>
    </row>
    <row r="174">
      <c r="B174" s="84"/>
    </row>
    <row r="175">
      <c r="B175" s="84"/>
    </row>
    <row r="176">
      <c r="B176" s="84"/>
    </row>
    <row r="177">
      <c r="B177" s="84"/>
    </row>
    <row r="178">
      <c r="B178" s="84"/>
    </row>
    <row r="179">
      <c r="B179" s="84"/>
    </row>
    <row r="180">
      <c r="B180" s="84"/>
    </row>
    <row r="181">
      <c r="B181" s="84"/>
    </row>
    <row r="182">
      <c r="B182" s="84"/>
    </row>
    <row r="183">
      <c r="B183" s="84"/>
    </row>
    <row r="184">
      <c r="B184" s="84"/>
    </row>
    <row r="185">
      <c r="B185" s="84"/>
    </row>
    <row r="186">
      <c r="B186" s="84"/>
    </row>
    <row r="187">
      <c r="B187" s="84"/>
    </row>
    <row r="188">
      <c r="B188" s="84"/>
    </row>
    <row r="189">
      <c r="B189" s="84"/>
    </row>
    <row r="190">
      <c r="B190" s="84"/>
    </row>
    <row r="191">
      <c r="B191" s="84"/>
    </row>
    <row r="192">
      <c r="B192" s="84"/>
    </row>
    <row r="193">
      <c r="B193" s="84"/>
    </row>
    <row r="194">
      <c r="B194" s="84"/>
    </row>
    <row r="195">
      <c r="B195" s="84"/>
    </row>
    <row r="196">
      <c r="B196" s="84"/>
    </row>
    <row r="197">
      <c r="B197" s="84"/>
    </row>
    <row r="198">
      <c r="B198" s="84"/>
    </row>
    <row r="199">
      <c r="B199" s="84"/>
    </row>
    <row r="200">
      <c r="B200" s="84"/>
    </row>
    <row r="201">
      <c r="B201" s="84"/>
    </row>
    <row r="202">
      <c r="B202" s="84"/>
    </row>
    <row r="203">
      <c r="B203" s="84"/>
    </row>
    <row r="204">
      <c r="B204" s="84"/>
    </row>
    <row r="205">
      <c r="B205" s="84"/>
    </row>
    <row r="206">
      <c r="B206" s="84"/>
    </row>
    <row r="207">
      <c r="B207" s="84"/>
    </row>
    <row r="208">
      <c r="B208" s="84"/>
    </row>
    <row r="209">
      <c r="B209" s="84"/>
    </row>
    <row r="210">
      <c r="B210" s="84"/>
    </row>
    <row r="211">
      <c r="B211" s="84"/>
    </row>
    <row r="212">
      <c r="B212" s="84"/>
    </row>
    <row r="213">
      <c r="B213" s="84"/>
    </row>
    <row r="214">
      <c r="B214" s="84"/>
    </row>
    <row r="215">
      <c r="B215" s="84"/>
    </row>
    <row r="216">
      <c r="B216" s="84"/>
    </row>
    <row r="217">
      <c r="B217" s="84"/>
    </row>
    <row r="218">
      <c r="B218" s="84"/>
    </row>
    <row r="219">
      <c r="B219" s="84"/>
    </row>
    <row r="220">
      <c r="B220" s="84"/>
    </row>
    <row r="221">
      <c r="B221" s="84"/>
    </row>
    <row r="222">
      <c r="B222" s="84"/>
    </row>
    <row r="223">
      <c r="B223" s="84"/>
    </row>
    <row r="224">
      <c r="B224" s="84"/>
    </row>
    <row r="225">
      <c r="B225" s="84"/>
    </row>
    <row r="226">
      <c r="B226" s="84"/>
    </row>
    <row r="227">
      <c r="B227" s="84"/>
    </row>
    <row r="228">
      <c r="B228" s="84"/>
    </row>
    <row r="229">
      <c r="B229" s="84"/>
    </row>
    <row r="230">
      <c r="B230" s="84"/>
    </row>
    <row r="231">
      <c r="B231" s="84"/>
    </row>
    <row r="232">
      <c r="B232" s="84"/>
    </row>
    <row r="233">
      <c r="B233" s="84"/>
    </row>
    <row r="234">
      <c r="B234" s="84"/>
    </row>
    <row r="235">
      <c r="B235" s="84"/>
    </row>
    <row r="236">
      <c r="B236" s="84"/>
    </row>
    <row r="237">
      <c r="B237" s="84"/>
    </row>
    <row r="238">
      <c r="B238" s="84"/>
    </row>
    <row r="239">
      <c r="B239" s="84"/>
    </row>
    <row r="240">
      <c r="B240" s="84"/>
    </row>
    <row r="241">
      <c r="B241" s="84"/>
    </row>
    <row r="242">
      <c r="B242" s="84"/>
    </row>
    <row r="243">
      <c r="B243" s="84"/>
    </row>
    <row r="244">
      <c r="B244" s="84"/>
    </row>
    <row r="245">
      <c r="B245" s="84"/>
    </row>
    <row r="246">
      <c r="B246" s="84"/>
    </row>
    <row r="247">
      <c r="B247" s="84"/>
    </row>
    <row r="248">
      <c r="B248" s="84"/>
    </row>
    <row r="249">
      <c r="B249" s="84"/>
    </row>
    <row r="250">
      <c r="B250" s="84"/>
    </row>
    <row r="251">
      <c r="B251" s="84"/>
    </row>
    <row r="252">
      <c r="B252" s="84"/>
    </row>
    <row r="253">
      <c r="B253" s="84"/>
    </row>
    <row r="254">
      <c r="B254" s="84"/>
    </row>
    <row r="255">
      <c r="B255" s="84"/>
    </row>
    <row r="256">
      <c r="B256" s="84"/>
    </row>
    <row r="257">
      <c r="B257" s="84"/>
    </row>
    <row r="258">
      <c r="B258" s="84"/>
    </row>
    <row r="259">
      <c r="B259" s="84"/>
    </row>
    <row r="260">
      <c r="B260" s="84"/>
    </row>
    <row r="261">
      <c r="B261" s="84"/>
    </row>
    <row r="262">
      <c r="B262" s="84"/>
    </row>
    <row r="263">
      <c r="B263" s="84"/>
    </row>
    <row r="264">
      <c r="B264" s="84"/>
    </row>
    <row r="265">
      <c r="B265" s="84"/>
    </row>
    <row r="266">
      <c r="B266" s="84"/>
    </row>
    <row r="267">
      <c r="B267" s="84"/>
    </row>
    <row r="268">
      <c r="B268" s="84"/>
    </row>
    <row r="269">
      <c r="B269" s="84"/>
    </row>
    <row r="270">
      <c r="B270" s="84"/>
    </row>
    <row r="271">
      <c r="B271" s="84"/>
    </row>
    <row r="272">
      <c r="B272" s="84"/>
    </row>
    <row r="273">
      <c r="B273" s="84"/>
    </row>
    <row r="274">
      <c r="B274" s="84"/>
    </row>
    <row r="275">
      <c r="B275" s="84"/>
    </row>
    <row r="276">
      <c r="B276" s="84"/>
    </row>
    <row r="277">
      <c r="B277" s="84"/>
    </row>
    <row r="278">
      <c r="B278" s="84"/>
    </row>
    <row r="279">
      <c r="B279" s="84"/>
    </row>
    <row r="280">
      <c r="B280" s="84"/>
    </row>
    <row r="281">
      <c r="B281" s="84"/>
    </row>
    <row r="282">
      <c r="B282" s="84"/>
    </row>
    <row r="283">
      <c r="B283" s="84"/>
    </row>
    <row r="284">
      <c r="B284" s="84"/>
    </row>
    <row r="285">
      <c r="B285" s="84"/>
    </row>
    <row r="286">
      <c r="B286" s="84"/>
    </row>
    <row r="287">
      <c r="B287" s="84"/>
    </row>
    <row r="288">
      <c r="B288" s="84"/>
    </row>
    <row r="289">
      <c r="B289" s="84"/>
    </row>
    <row r="290">
      <c r="B290" s="84"/>
    </row>
    <row r="291">
      <c r="B291" s="84"/>
    </row>
    <row r="292">
      <c r="B292" s="84"/>
    </row>
    <row r="293">
      <c r="B293" s="84"/>
    </row>
    <row r="294">
      <c r="B294" s="84"/>
    </row>
    <row r="295">
      <c r="B295" s="84"/>
    </row>
    <row r="296">
      <c r="B296" s="84"/>
    </row>
    <row r="297">
      <c r="B297" s="84"/>
    </row>
    <row r="298">
      <c r="B298" s="84"/>
    </row>
    <row r="299">
      <c r="B299" s="84"/>
    </row>
    <row r="300">
      <c r="B300" s="84"/>
    </row>
    <row r="301">
      <c r="B301" s="84"/>
    </row>
    <row r="302">
      <c r="B302" s="84"/>
    </row>
    <row r="303">
      <c r="B303" s="84"/>
    </row>
    <row r="304">
      <c r="B304" s="84"/>
    </row>
    <row r="305">
      <c r="B305" s="84"/>
    </row>
    <row r="306">
      <c r="B306" s="84"/>
    </row>
    <row r="307">
      <c r="B307" s="84"/>
    </row>
    <row r="308">
      <c r="B308" s="84"/>
    </row>
    <row r="309">
      <c r="B309" s="84"/>
    </row>
    <row r="310">
      <c r="B310" s="84"/>
    </row>
    <row r="311">
      <c r="B311" s="84"/>
    </row>
    <row r="312">
      <c r="B312" s="84"/>
    </row>
    <row r="313">
      <c r="B313" s="84"/>
    </row>
    <row r="314">
      <c r="B314" s="84"/>
    </row>
    <row r="315">
      <c r="B315" s="84"/>
    </row>
    <row r="316">
      <c r="B316" s="84"/>
    </row>
    <row r="317">
      <c r="B317" s="84"/>
    </row>
    <row r="318">
      <c r="B318" s="84"/>
    </row>
    <row r="319">
      <c r="B319" s="84"/>
    </row>
    <row r="320">
      <c r="B320" s="84"/>
    </row>
    <row r="321">
      <c r="B321" s="84"/>
    </row>
    <row r="322">
      <c r="B322" s="84"/>
    </row>
    <row r="323">
      <c r="B323" s="84"/>
    </row>
    <row r="324">
      <c r="B324" s="84"/>
    </row>
    <row r="325">
      <c r="B325" s="84"/>
    </row>
    <row r="326">
      <c r="B326" s="84"/>
    </row>
    <row r="327">
      <c r="B327" s="84"/>
    </row>
    <row r="328">
      <c r="B328" s="84"/>
    </row>
    <row r="329">
      <c r="B329" s="84"/>
    </row>
    <row r="330">
      <c r="B330" s="84"/>
    </row>
    <row r="331">
      <c r="B331" s="84"/>
    </row>
    <row r="332">
      <c r="B332" s="84"/>
    </row>
    <row r="333">
      <c r="B333" s="84"/>
    </row>
    <row r="334">
      <c r="B334" s="84"/>
    </row>
    <row r="335">
      <c r="B335" s="84"/>
    </row>
    <row r="336">
      <c r="B336" s="84"/>
    </row>
    <row r="337">
      <c r="B337" s="84"/>
    </row>
    <row r="338">
      <c r="B338" s="84"/>
    </row>
    <row r="339">
      <c r="B339" s="84"/>
    </row>
    <row r="340">
      <c r="B340" s="84"/>
    </row>
    <row r="341">
      <c r="B341" s="84"/>
    </row>
    <row r="342">
      <c r="B342" s="84"/>
    </row>
    <row r="343">
      <c r="B343" s="84"/>
    </row>
    <row r="344">
      <c r="B344" s="84"/>
    </row>
    <row r="345">
      <c r="B345" s="84"/>
    </row>
    <row r="346">
      <c r="B346" s="84"/>
    </row>
    <row r="347">
      <c r="B347" s="84"/>
    </row>
    <row r="348">
      <c r="B348" s="84"/>
    </row>
    <row r="349">
      <c r="B349" s="84"/>
    </row>
    <row r="350">
      <c r="B350" s="84"/>
    </row>
    <row r="351">
      <c r="B351" s="84"/>
    </row>
    <row r="352">
      <c r="B352" s="84"/>
    </row>
    <row r="353">
      <c r="B353" s="84"/>
    </row>
    <row r="354">
      <c r="B354" s="84"/>
    </row>
    <row r="355">
      <c r="B355" s="84"/>
    </row>
    <row r="356">
      <c r="B356" s="84"/>
    </row>
    <row r="357">
      <c r="B357" s="84"/>
    </row>
    <row r="358">
      <c r="B358" s="84"/>
    </row>
    <row r="359">
      <c r="B359" s="84"/>
    </row>
    <row r="360">
      <c r="B360" s="84"/>
    </row>
    <row r="361">
      <c r="B361" s="84"/>
    </row>
    <row r="362">
      <c r="B362" s="84"/>
    </row>
    <row r="363">
      <c r="B363" s="84"/>
    </row>
    <row r="364">
      <c r="B364" s="84"/>
    </row>
    <row r="365">
      <c r="B365" s="84"/>
    </row>
    <row r="366">
      <c r="B366" s="84"/>
    </row>
    <row r="367">
      <c r="B367" s="84"/>
    </row>
    <row r="368">
      <c r="B368" s="84"/>
    </row>
    <row r="369">
      <c r="B369" s="84"/>
    </row>
    <row r="370">
      <c r="B370" s="84"/>
    </row>
    <row r="371">
      <c r="B371" s="84"/>
    </row>
    <row r="372">
      <c r="B372" s="84"/>
    </row>
    <row r="373">
      <c r="B373" s="84"/>
    </row>
    <row r="374">
      <c r="B374" s="84"/>
    </row>
    <row r="375">
      <c r="B375" s="84"/>
    </row>
    <row r="376">
      <c r="B376" s="84"/>
    </row>
    <row r="377">
      <c r="B377" s="84"/>
    </row>
    <row r="378">
      <c r="B378" s="84"/>
    </row>
    <row r="379">
      <c r="B379" s="84"/>
    </row>
    <row r="380">
      <c r="B380" s="84"/>
    </row>
    <row r="381">
      <c r="B381" s="84"/>
    </row>
    <row r="382">
      <c r="B382" s="84"/>
    </row>
    <row r="383">
      <c r="B383" s="84"/>
    </row>
    <row r="384">
      <c r="B384" s="84"/>
    </row>
    <row r="385">
      <c r="B385" s="84"/>
    </row>
    <row r="386">
      <c r="B386" s="84"/>
    </row>
    <row r="387">
      <c r="B387" s="84"/>
    </row>
    <row r="388">
      <c r="B388" s="84"/>
    </row>
    <row r="389">
      <c r="B389" s="84"/>
    </row>
    <row r="390">
      <c r="B390" s="84"/>
    </row>
    <row r="391">
      <c r="B391" s="84"/>
    </row>
    <row r="392">
      <c r="B392" s="84"/>
    </row>
    <row r="393">
      <c r="B393" s="84"/>
    </row>
    <row r="394">
      <c r="B394" s="84"/>
    </row>
    <row r="395">
      <c r="B395" s="84"/>
    </row>
    <row r="396">
      <c r="B396" s="84"/>
    </row>
    <row r="397">
      <c r="B397" s="84"/>
    </row>
    <row r="398">
      <c r="B398" s="84"/>
    </row>
    <row r="399">
      <c r="B399" s="84"/>
    </row>
    <row r="400">
      <c r="B400" s="84"/>
    </row>
    <row r="401">
      <c r="B401" s="84"/>
    </row>
    <row r="402">
      <c r="B402" s="84"/>
    </row>
    <row r="403">
      <c r="B403" s="84"/>
    </row>
    <row r="404">
      <c r="B404" s="84"/>
    </row>
    <row r="405">
      <c r="B405" s="84"/>
    </row>
    <row r="406">
      <c r="B406" s="84"/>
    </row>
    <row r="407">
      <c r="B407" s="84"/>
    </row>
    <row r="408">
      <c r="B408" s="84"/>
    </row>
    <row r="409">
      <c r="B409" s="84"/>
    </row>
    <row r="410">
      <c r="B410" s="84"/>
    </row>
    <row r="411">
      <c r="B411" s="84"/>
    </row>
    <row r="412">
      <c r="B412" s="84"/>
    </row>
    <row r="413">
      <c r="B413" s="84"/>
    </row>
    <row r="414">
      <c r="B414" s="84"/>
    </row>
    <row r="415">
      <c r="B415" s="84"/>
    </row>
    <row r="416">
      <c r="B416" s="84"/>
    </row>
    <row r="417">
      <c r="B417" s="84"/>
    </row>
    <row r="418">
      <c r="B418" s="84"/>
    </row>
    <row r="419">
      <c r="B419" s="84"/>
    </row>
    <row r="420">
      <c r="B420" s="84"/>
    </row>
    <row r="421">
      <c r="B421" s="84"/>
    </row>
    <row r="422">
      <c r="B422" s="84"/>
    </row>
    <row r="423">
      <c r="B423" s="84"/>
    </row>
    <row r="424">
      <c r="B424" s="84"/>
    </row>
    <row r="425">
      <c r="B425" s="84"/>
    </row>
    <row r="426">
      <c r="B426" s="84"/>
    </row>
    <row r="427">
      <c r="B427" s="84"/>
    </row>
    <row r="428">
      <c r="B428" s="84"/>
    </row>
    <row r="429">
      <c r="B429" s="84"/>
    </row>
    <row r="430">
      <c r="B430" s="84"/>
    </row>
    <row r="431">
      <c r="B431" s="84"/>
    </row>
    <row r="432">
      <c r="B432" s="84"/>
    </row>
    <row r="433">
      <c r="B433" s="84"/>
    </row>
    <row r="434">
      <c r="B434" s="84"/>
    </row>
    <row r="435">
      <c r="B435" s="84"/>
    </row>
    <row r="436">
      <c r="B436" s="84"/>
    </row>
    <row r="437">
      <c r="B437" s="84"/>
    </row>
    <row r="438">
      <c r="B438" s="84"/>
    </row>
    <row r="439">
      <c r="B439" s="84"/>
    </row>
    <row r="440">
      <c r="B440" s="84"/>
    </row>
    <row r="441">
      <c r="B441" s="84"/>
    </row>
    <row r="442">
      <c r="B442" s="84"/>
    </row>
    <row r="443">
      <c r="B443" s="84"/>
    </row>
    <row r="444">
      <c r="B444" s="84"/>
    </row>
    <row r="445">
      <c r="B445" s="84"/>
    </row>
    <row r="446">
      <c r="B446" s="84"/>
    </row>
    <row r="447">
      <c r="B447" s="84"/>
    </row>
    <row r="448">
      <c r="B448" s="84"/>
    </row>
    <row r="449">
      <c r="B449" s="84"/>
    </row>
    <row r="450">
      <c r="B450" s="84"/>
    </row>
    <row r="451">
      <c r="B451" s="84"/>
    </row>
    <row r="452">
      <c r="B452" s="84"/>
    </row>
    <row r="453">
      <c r="B453" s="84"/>
    </row>
    <row r="454">
      <c r="B454" s="84"/>
    </row>
    <row r="455">
      <c r="B455" s="84"/>
    </row>
    <row r="456">
      <c r="B456" s="84"/>
    </row>
    <row r="457">
      <c r="B457" s="84"/>
    </row>
    <row r="458">
      <c r="B458" s="84"/>
    </row>
    <row r="459">
      <c r="B459" s="84"/>
    </row>
    <row r="460">
      <c r="B460" s="84"/>
    </row>
    <row r="461">
      <c r="B461" s="84"/>
    </row>
    <row r="462">
      <c r="B462" s="84"/>
    </row>
    <row r="463">
      <c r="B463" s="84"/>
    </row>
    <row r="464">
      <c r="B464" s="84"/>
    </row>
    <row r="465">
      <c r="B465" s="84"/>
    </row>
    <row r="466">
      <c r="B466" s="84"/>
    </row>
    <row r="467">
      <c r="B467" s="84"/>
    </row>
    <row r="468">
      <c r="B468" s="84"/>
    </row>
    <row r="469">
      <c r="B469" s="84"/>
    </row>
    <row r="470">
      <c r="B470" s="84"/>
    </row>
    <row r="471">
      <c r="B471" s="84"/>
    </row>
    <row r="472">
      <c r="B472" s="84"/>
    </row>
    <row r="473">
      <c r="B473" s="84"/>
    </row>
    <row r="474">
      <c r="B474" s="84"/>
    </row>
    <row r="475">
      <c r="B475" s="84"/>
    </row>
    <row r="476">
      <c r="B476" s="84"/>
    </row>
    <row r="477">
      <c r="B477" s="84"/>
    </row>
    <row r="478">
      <c r="B478" s="84"/>
    </row>
    <row r="479">
      <c r="B479" s="84"/>
    </row>
    <row r="480">
      <c r="B480" s="84"/>
    </row>
    <row r="481">
      <c r="B481" s="84"/>
    </row>
    <row r="482">
      <c r="B482" s="84"/>
    </row>
    <row r="483">
      <c r="B483" s="84"/>
    </row>
    <row r="484">
      <c r="B484" s="84"/>
    </row>
    <row r="485">
      <c r="B485" s="84"/>
    </row>
    <row r="486">
      <c r="B486" s="84"/>
    </row>
    <row r="487">
      <c r="B487" s="84"/>
    </row>
    <row r="488">
      <c r="B488" s="84"/>
    </row>
    <row r="489">
      <c r="B489" s="84"/>
    </row>
    <row r="490">
      <c r="B490" s="84"/>
    </row>
    <row r="491">
      <c r="B491" s="84"/>
    </row>
    <row r="492">
      <c r="B492" s="84"/>
    </row>
    <row r="493">
      <c r="B493" s="84"/>
    </row>
    <row r="494">
      <c r="B494" s="84"/>
    </row>
    <row r="495">
      <c r="B495" s="84"/>
    </row>
    <row r="496">
      <c r="B496" s="84"/>
    </row>
    <row r="497">
      <c r="B497" s="84"/>
    </row>
    <row r="498">
      <c r="B498" s="84"/>
    </row>
    <row r="499">
      <c r="B499" s="84"/>
    </row>
    <row r="500">
      <c r="B500" s="84"/>
    </row>
    <row r="501">
      <c r="B501" s="84"/>
    </row>
    <row r="502">
      <c r="B502" s="84"/>
    </row>
    <row r="503">
      <c r="B503" s="84"/>
    </row>
    <row r="504">
      <c r="B504" s="84"/>
    </row>
    <row r="505">
      <c r="B505" s="84"/>
    </row>
    <row r="506">
      <c r="B506" s="84"/>
    </row>
    <row r="507">
      <c r="B507" s="84"/>
    </row>
    <row r="508">
      <c r="B508" s="84"/>
    </row>
    <row r="509">
      <c r="B509" s="84"/>
    </row>
    <row r="510">
      <c r="B510" s="84"/>
    </row>
    <row r="511">
      <c r="B511" s="84"/>
    </row>
    <row r="512">
      <c r="B512" s="84"/>
    </row>
    <row r="513">
      <c r="B513" s="84"/>
    </row>
    <row r="514">
      <c r="B514" s="84"/>
    </row>
    <row r="515">
      <c r="B515" s="84"/>
    </row>
    <row r="516">
      <c r="B516" s="84"/>
    </row>
    <row r="517">
      <c r="B517" s="84"/>
    </row>
    <row r="518">
      <c r="B518" s="84"/>
    </row>
    <row r="519">
      <c r="B519" s="84"/>
    </row>
    <row r="520">
      <c r="B520" s="84"/>
    </row>
    <row r="521">
      <c r="B521" s="84"/>
    </row>
    <row r="522">
      <c r="B522" s="84"/>
    </row>
    <row r="523">
      <c r="B523" s="84"/>
    </row>
    <row r="524">
      <c r="B524" s="84"/>
    </row>
    <row r="525">
      <c r="B525" s="84"/>
    </row>
    <row r="526">
      <c r="B526" s="84"/>
    </row>
    <row r="527">
      <c r="B527" s="84"/>
    </row>
    <row r="528">
      <c r="B528" s="84"/>
    </row>
    <row r="529">
      <c r="B529" s="84"/>
    </row>
    <row r="530">
      <c r="B530" s="84"/>
    </row>
    <row r="531">
      <c r="B531" s="84"/>
    </row>
    <row r="532">
      <c r="B532" s="84"/>
    </row>
    <row r="533">
      <c r="B533" s="84"/>
    </row>
    <row r="534">
      <c r="B534" s="84"/>
    </row>
    <row r="535">
      <c r="B535" s="84"/>
    </row>
    <row r="536">
      <c r="B536" s="84"/>
    </row>
    <row r="537">
      <c r="B537" s="84"/>
    </row>
    <row r="538">
      <c r="B538" s="84"/>
    </row>
    <row r="539">
      <c r="B539" s="84"/>
    </row>
    <row r="540">
      <c r="B540" s="84"/>
    </row>
    <row r="541">
      <c r="B541" s="84"/>
    </row>
    <row r="542">
      <c r="B542" s="84"/>
    </row>
    <row r="543">
      <c r="B543" s="84"/>
    </row>
    <row r="544">
      <c r="B544" s="84"/>
    </row>
    <row r="545">
      <c r="B545" s="84"/>
    </row>
    <row r="546">
      <c r="B546" s="84"/>
    </row>
    <row r="547">
      <c r="B547" s="84"/>
    </row>
    <row r="548">
      <c r="B548" s="84"/>
    </row>
    <row r="549">
      <c r="B549" s="84"/>
    </row>
    <row r="550">
      <c r="B550" s="84"/>
    </row>
    <row r="551">
      <c r="B551" s="84"/>
    </row>
    <row r="552">
      <c r="B552" s="84"/>
    </row>
    <row r="553">
      <c r="B553" s="84"/>
    </row>
    <row r="554">
      <c r="B554" s="84"/>
    </row>
    <row r="555">
      <c r="B555" s="84"/>
    </row>
    <row r="556">
      <c r="B556" s="84"/>
    </row>
    <row r="557">
      <c r="B557" s="84"/>
    </row>
    <row r="558">
      <c r="B558" s="84"/>
    </row>
    <row r="559">
      <c r="B559" s="84"/>
    </row>
    <row r="560">
      <c r="B560" s="84"/>
    </row>
    <row r="561">
      <c r="B561" s="84"/>
    </row>
    <row r="562">
      <c r="B562" s="84"/>
    </row>
    <row r="563">
      <c r="B563" s="84"/>
    </row>
    <row r="564">
      <c r="B564" s="84"/>
    </row>
    <row r="565">
      <c r="B565" s="84"/>
    </row>
    <row r="566">
      <c r="B566" s="84"/>
    </row>
    <row r="567">
      <c r="B567" s="84"/>
    </row>
    <row r="568">
      <c r="B568" s="84"/>
    </row>
    <row r="569">
      <c r="B569" s="84"/>
    </row>
    <row r="570">
      <c r="B570" s="84"/>
    </row>
    <row r="571">
      <c r="B571" s="84"/>
    </row>
    <row r="572">
      <c r="B572" s="84"/>
    </row>
    <row r="573">
      <c r="B573" s="84"/>
    </row>
    <row r="574">
      <c r="B574" s="84"/>
    </row>
    <row r="575">
      <c r="B575" s="84"/>
    </row>
    <row r="576">
      <c r="B576" s="84"/>
    </row>
    <row r="577">
      <c r="B577" s="84"/>
    </row>
    <row r="578">
      <c r="B578" s="84"/>
    </row>
    <row r="579">
      <c r="B579" s="84"/>
    </row>
    <row r="580">
      <c r="B580" s="84"/>
    </row>
    <row r="581">
      <c r="B581" s="84"/>
    </row>
    <row r="582">
      <c r="B582" s="84"/>
    </row>
    <row r="583">
      <c r="B583" s="84"/>
    </row>
    <row r="584">
      <c r="B584" s="84"/>
    </row>
    <row r="585">
      <c r="B585" s="84"/>
    </row>
    <row r="586">
      <c r="B586" s="84"/>
    </row>
    <row r="587">
      <c r="B587" s="84"/>
    </row>
    <row r="588">
      <c r="B588" s="84"/>
    </row>
    <row r="589">
      <c r="B589" s="84"/>
    </row>
    <row r="590">
      <c r="B590" s="84"/>
    </row>
    <row r="591">
      <c r="B591" s="84"/>
    </row>
    <row r="592">
      <c r="B592" s="84"/>
    </row>
    <row r="593">
      <c r="B593" s="84"/>
    </row>
    <row r="594">
      <c r="B594" s="84"/>
    </row>
    <row r="595">
      <c r="B595" s="84"/>
    </row>
    <row r="596">
      <c r="B596" s="84"/>
    </row>
    <row r="597">
      <c r="B597" s="84"/>
    </row>
    <row r="598">
      <c r="B598" s="84"/>
    </row>
    <row r="599">
      <c r="B599" s="84"/>
    </row>
    <row r="600">
      <c r="B600" s="84"/>
    </row>
    <row r="601">
      <c r="B601" s="84"/>
    </row>
    <row r="602">
      <c r="B602" s="84"/>
    </row>
    <row r="603">
      <c r="B603" s="84"/>
    </row>
    <row r="604">
      <c r="B604" s="84"/>
    </row>
    <row r="605">
      <c r="B605" s="84"/>
    </row>
    <row r="606">
      <c r="B606" s="84"/>
    </row>
    <row r="607">
      <c r="B607" s="84"/>
    </row>
    <row r="608">
      <c r="B608" s="84"/>
    </row>
    <row r="609">
      <c r="B609" s="84"/>
    </row>
    <row r="610">
      <c r="B610" s="84"/>
    </row>
    <row r="611">
      <c r="B611" s="84"/>
    </row>
    <row r="612">
      <c r="B612" s="84"/>
    </row>
    <row r="613">
      <c r="B613" s="84"/>
    </row>
    <row r="614">
      <c r="B614" s="84"/>
    </row>
    <row r="615">
      <c r="B615" s="84"/>
    </row>
    <row r="616">
      <c r="B616" s="84"/>
    </row>
    <row r="617">
      <c r="B617" s="84"/>
    </row>
    <row r="618">
      <c r="B618" s="84"/>
    </row>
    <row r="619">
      <c r="B619" s="84"/>
    </row>
    <row r="620">
      <c r="B620" s="84"/>
    </row>
    <row r="621">
      <c r="B621" s="84"/>
    </row>
    <row r="622">
      <c r="B622" s="84"/>
    </row>
    <row r="623">
      <c r="B623" s="84"/>
    </row>
    <row r="624">
      <c r="B624" s="84"/>
    </row>
    <row r="625">
      <c r="B625" s="84"/>
    </row>
    <row r="626">
      <c r="B626" s="84"/>
    </row>
    <row r="627">
      <c r="B627" s="84"/>
    </row>
    <row r="628">
      <c r="B628" s="84"/>
    </row>
    <row r="629">
      <c r="B629" s="84"/>
    </row>
    <row r="630">
      <c r="B630" s="84"/>
    </row>
    <row r="631">
      <c r="B631" s="84"/>
    </row>
    <row r="632">
      <c r="B632" s="84"/>
    </row>
    <row r="633">
      <c r="B633" s="84"/>
    </row>
    <row r="634">
      <c r="B634" s="84"/>
    </row>
    <row r="635">
      <c r="B635" s="84"/>
    </row>
    <row r="636">
      <c r="B636" s="84"/>
    </row>
    <row r="637">
      <c r="B637" s="84"/>
    </row>
    <row r="638">
      <c r="B638" s="84"/>
    </row>
    <row r="639">
      <c r="B639" s="84"/>
    </row>
    <row r="640">
      <c r="B640" s="84"/>
    </row>
    <row r="641">
      <c r="B641" s="84"/>
    </row>
    <row r="642">
      <c r="B642" s="84"/>
    </row>
    <row r="643">
      <c r="B643" s="84"/>
    </row>
    <row r="644">
      <c r="B644" s="84"/>
    </row>
    <row r="645">
      <c r="B645" s="84"/>
    </row>
    <row r="646">
      <c r="B646" s="84"/>
    </row>
    <row r="647">
      <c r="B647" s="84"/>
    </row>
    <row r="648">
      <c r="B648" s="84"/>
    </row>
    <row r="649">
      <c r="B649" s="84"/>
    </row>
    <row r="650">
      <c r="B650" s="84"/>
    </row>
    <row r="651">
      <c r="B651" s="84"/>
    </row>
    <row r="652">
      <c r="B652" s="84"/>
    </row>
    <row r="653">
      <c r="B653" s="84"/>
    </row>
    <row r="654">
      <c r="B654" s="84"/>
    </row>
    <row r="655">
      <c r="B655" s="84"/>
    </row>
    <row r="656">
      <c r="B656" s="84"/>
    </row>
    <row r="657">
      <c r="B657" s="84"/>
    </row>
    <row r="658">
      <c r="B658" s="84"/>
    </row>
    <row r="659">
      <c r="B659" s="84"/>
    </row>
    <row r="660">
      <c r="B660" s="84"/>
    </row>
    <row r="661">
      <c r="B661" s="84"/>
    </row>
    <row r="662">
      <c r="B662" s="84"/>
    </row>
    <row r="663">
      <c r="B663" s="84"/>
    </row>
    <row r="664">
      <c r="B664" s="84"/>
    </row>
    <row r="665">
      <c r="B665" s="84"/>
    </row>
    <row r="666">
      <c r="B666" s="84"/>
    </row>
    <row r="667">
      <c r="B667" s="84"/>
    </row>
    <row r="668">
      <c r="B668" s="84"/>
    </row>
    <row r="669">
      <c r="B669" s="84"/>
    </row>
    <row r="670">
      <c r="B670" s="84"/>
    </row>
    <row r="671">
      <c r="B671" s="84"/>
    </row>
    <row r="672">
      <c r="B672" s="84"/>
    </row>
    <row r="673">
      <c r="B673" s="84"/>
    </row>
    <row r="674">
      <c r="B674" s="84"/>
    </row>
    <row r="675">
      <c r="B675" s="84"/>
    </row>
    <row r="676">
      <c r="B676" s="84"/>
    </row>
    <row r="677">
      <c r="B677" s="84"/>
    </row>
    <row r="678">
      <c r="B678" s="84"/>
    </row>
    <row r="679">
      <c r="B679" s="84"/>
    </row>
    <row r="680">
      <c r="B680" s="84"/>
    </row>
    <row r="681">
      <c r="B681" s="84"/>
    </row>
    <row r="682">
      <c r="B682" s="84"/>
    </row>
    <row r="683">
      <c r="B683" s="84"/>
    </row>
    <row r="684">
      <c r="B684" s="84"/>
    </row>
    <row r="685">
      <c r="B685" s="84"/>
    </row>
    <row r="686">
      <c r="B686" s="84"/>
    </row>
    <row r="687">
      <c r="B687" s="84"/>
    </row>
    <row r="688">
      <c r="B688" s="84"/>
    </row>
    <row r="689">
      <c r="B689" s="84"/>
    </row>
    <row r="690">
      <c r="B690" s="84"/>
    </row>
    <row r="691">
      <c r="B691" s="84"/>
    </row>
    <row r="692">
      <c r="B692" s="84"/>
    </row>
    <row r="693">
      <c r="B693" s="84"/>
    </row>
    <row r="694">
      <c r="B694" s="84"/>
    </row>
    <row r="695">
      <c r="B695" s="84"/>
    </row>
    <row r="696">
      <c r="B696" s="84"/>
    </row>
    <row r="697">
      <c r="B697" s="84"/>
    </row>
    <row r="698">
      <c r="B698" s="84"/>
    </row>
    <row r="699">
      <c r="B699" s="84"/>
    </row>
    <row r="700">
      <c r="B700" s="84"/>
    </row>
    <row r="701">
      <c r="B701" s="84"/>
    </row>
    <row r="702">
      <c r="B702" s="84"/>
    </row>
    <row r="703">
      <c r="B703" s="84"/>
    </row>
    <row r="704">
      <c r="B704" s="84"/>
    </row>
    <row r="705">
      <c r="B705" s="84"/>
    </row>
    <row r="706">
      <c r="B706" s="84"/>
    </row>
    <row r="707">
      <c r="B707" s="84"/>
    </row>
    <row r="708">
      <c r="B708" s="84"/>
    </row>
    <row r="709">
      <c r="B709" s="84"/>
    </row>
    <row r="710">
      <c r="B710" s="84"/>
    </row>
    <row r="711">
      <c r="B711" s="84"/>
    </row>
    <row r="712">
      <c r="B712" s="84"/>
    </row>
    <row r="713">
      <c r="B713" s="84"/>
    </row>
    <row r="714">
      <c r="B714" s="84"/>
    </row>
    <row r="715">
      <c r="B715" s="84"/>
    </row>
    <row r="716">
      <c r="B716" s="84"/>
    </row>
    <row r="717">
      <c r="B717" s="84"/>
    </row>
    <row r="718">
      <c r="B718" s="84"/>
    </row>
    <row r="719">
      <c r="B719" s="84"/>
    </row>
    <row r="720">
      <c r="B720" s="84"/>
    </row>
    <row r="721">
      <c r="B721" s="84"/>
    </row>
    <row r="722">
      <c r="B722" s="84"/>
    </row>
    <row r="723">
      <c r="B723" s="84"/>
    </row>
    <row r="724">
      <c r="B724" s="84"/>
    </row>
    <row r="725">
      <c r="B725" s="84"/>
    </row>
    <row r="726">
      <c r="B726" s="84"/>
    </row>
    <row r="727">
      <c r="B727" s="84"/>
    </row>
    <row r="728">
      <c r="B728" s="84"/>
    </row>
    <row r="729">
      <c r="B729" s="84"/>
    </row>
    <row r="730">
      <c r="B730" s="84"/>
    </row>
    <row r="731">
      <c r="B731" s="84"/>
    </row>
    <row r="732">
      <c r="B732" s="84"/>
    </row>
    <row r="733">
      <c r="B733" s="84"/>
    </row>
    <row r="734">
      <c r="B734" s="84"/>
    </row>
    <row r="735">
      <c r="B735" s="84"/>
    </row>
    <row r="736">
      <c r="B736" s="84"/>
    </row>
    <row r="737">
      <c r="B737" s="84"/>
    </row>
    <row r="738">
      <c r="B738" s="84"/>
    </row>
    <row r="739">
      <c r="B739" s="84"/>
    </row>
    <row r="740">
      <c r="B740" s="84"/>
    </row>
    <row r="741">
      <c r="B741" s="84"/>
    </row>
    <row r="742">
      <c r="B742" s="84"/>
    </row>
    <row r="743">
      <c r="B743" s="84"/>
    </row>
    <row r="744">
      <c r="B744" s="84"/>
    </row>
    <row r="745">
      <c r="B745" s="84"/>
    </row>
    <row r="746">
      <c r="B746" s="84"/>
    </row>
    <row r="747">
      <c r="B747" s="84"/>
    </row>
    <row r="748">
      <c r="B748" s="84"/>
    </row>
    <row r="749">
      <c r="B749" s="84"/>
    </row>
    <row r="750">
      <c r="B750" s="84"/>
    </row>
    <row r="751">
      <c r="B751" s="84"/>
    </row>
    <row r="752">
      <c r="B752" s="84"/>
    </row>
    <row r="753">
      <c r="B753" s="84"/>
    </row>
    <row r="754">
      <c r="B754" s="84"/>
    </row>
    <row r="755">
      <c r="B755" s="84"/>
    </row>
    <row r="756">
      <c r="B756" s="84"/>
    </row>
    <row r="757">
      <c r="B757" s="84"/>
    </row>
    <row r="758">
      <c r="B758" s="84"/>
    </row>
    <row r="759">
      <c r="B759" s="84"/>
    </row>
    <row r="760">
      <c r="B760" s="84"/>
    </row>
    <row r="761">
      <c r="B761" s="84"/>
    </row>
    <row r="762">
      <c r="B762" s="84"/>
    </row>
    <row r="763">
      <c r="B763" s="84"/>
    </row>
    <row r="764">
      <c r="B764" s="84"/>
    </row>
    <row r="765">
      <c r="B765" s="84"/>
    </row>
    <row r="766">
      <c r="B766" s="84"/>
    </row>
    <row r="767">
      <c r="B767" s="84"/>
    </row>
    <row r="768">
      <c r="B768" s="84"/>
    </row>
    <row r="769">
      <c r="B769" s="84"/>
    </row>
    <row r="770">
      <c r="B770" s="84"/>
    </row>
    <row r="771">
      <c r="B771" s="84"/>
    </row>
    <row r="772">
      <c r="B772" s="84"/>
    </row>
    <row r="773">
      <c r="B773" s="84"/>
    </row>
    <row r="774">
      <c r="B774" s="84"/>
    </row>
    <row r="775">
      <c r="B775" s="84"/>
    </row>
    <row r="776">
      <c r="B776" s="84"/>
    </row>
    <row r="777">
      <c r="B777" s="84"/>
    </row>
    <row r="778">
      <c r="B778" s="84"/>
    </row>
    <row r="779">
      <c r="B779" s="84"/>
    </row>
    <row r="780">
      <c r="B780" s="84"/>
    </row>
    <row r="781">
      <c r="B781" s="84"/>
    </row>
    <row r="782">
      <c r="B782" s="84"/>
    </row>
    <row r="783">
      <c r="B783" s="84"/>
    </row>
    <row r="784">
      <c r="B784" s="84"/>
    </row>
    <row r="785">
      <c r="B785" s="84"/>
    </row>
    <row r="786">
      <c r="B786" s="84"/>
    </row>
    <row r="787">
      <c r="B787" s="84"/>
    </row>
    <row r="788">
      <c r="B788" s="84"/>
    </row>
    <row r="789">
      <c r="B789" s="84"/>
    </row>
    <row r="790">
      <c r="B790" s="84"/>
    </row>
    <row r="791">
      <c r="B791" s="84"/>
    </row>
    <row r="792">
      <c r="B792" s="84"/>
    </row>
    <row r="793">
      <c r="B793" s="84"/>
    </row>
    <row r="794">
      <c r="B794" s="84"/>
    </row>
    <row r="795">
      <c r="B795" s="84"/>
    </row>
    <row r="796">
      <c r="B796" s="84"/>
    </row>
    <row r="797">
      <c r="B797" s="84"/>
    </row>
    <row r="798">
      <c r="B798" s="84"/>
    </row>
    <row r="799">
      <c r="B799" s="84"/>
    </row>
    <row r="800">
      <c r="B800" s="84"/>
    </row>
    <row r="801">
      <c r="B801" s="84"/>
    </row>
    <row r="802">
      <c r="B802" s="84"/>
    </row>
    <row r="803">
      <c r="B803" s="84"/>
    </row>
    <row r="804">
      <c r="B804" s="84"/>
    </row>
    <row r="805">
      <c r="B805" s="84"/>
    </row>
    <row r="806">
      <c r="B806" s="84"/>
    </row>
    <row r="807">
      <c r="B807" s="84"/>
    </row>
    <row r="808">
      <c r="B808" s="84"/>
    </row>
    <row r="809">
      <c r="B809" s="84"/>
    </row>
    <row r="810">
      <c r="B810" s="84"/>
    </row>
    <row r="811">
      <c r="B811" s="84"/>
    </row>
    <row r="812">
      <c r="B812" s="84"/>
    </row>
    <row r="813">
      <c r="B813" s="84"/>
    </row>
    <row r="814">
      <c r="B814" s="84"/>
    </row>
    <row r="815">
      <c r="B815" s="84"/>
    </row>
    <row r="816">
      <c r="B816" s="84"/>
    </row>
    <row r="817">
      <c r="B817" s="84"/>
    </row>
    <row r="818">
      <c r="B818" s="84"/>
    </row>
    <row r="819">
      <c r="B819" s="84"/>
    </row>
    <row r="820">
      <c r="B820" s="84"/>
    </row>
    <row r="821">
      <c r="B821" s="84"/>
    </row>
    <row r="822">
      <c r="B822" s="84"/>
    </row>
    <row r="823">
      <c r="B823" s="84"/>
    </row>
    <row r="824">
      <c r="B824" s="84"/>
    </row>
    <row r="825">
      <c r="B825" s="84"/>
    </row>
    <row r="826">
      <c r="B826" s="84"/>
    </row>
    <row r="827">
      <c r="B827" s="84"/>
    </row>
    <row r="828">
      <c r="B828" s="84"/>
    </row>
    <row r="829">
      <c r="B829" s="84"/>
    </row>
    <row r="830">
      <c r="B830" s="84"/>
    </row>
    <row r="831">
      <c r="B831" s="84"/>
    </row>
    <row r="832">
      <c r="B832" s="84"/>
    </row>
    <row r="833">
      <c r="B833" s="84"/>
    </row>
    <row r="834">
      <c r="B834" s="84"/>
    </row>
    <row r="835">
      <c r="B835" s="84"/>
    </row>
    <row r="836">
      <c r="B836" s="84"/>
    </row>
    <row r="837">
      <c r="B837" s="84"/>
    </row>
    <row r="838">
      <c r="B838" s="84"/>
    </row>
    <row r="839">
      <c r="B839" s="84"/>
    </row>
    <row r="840">
      <c r="B840" s="84"/>
    </row>
    <row r="841">
      <c r="B841" s="84"/>
    </row>
    <row r="842">
      <c r="B842" s="84"/>
    </row>
    <row r="843">
      <c r="B843" s="84"/>
    </row>
    <row r="844">
      <c r="B844" s="84"/>
    </row>
    <row r="845">
      <c r="B845" s="84"/>
    </row>
    <row r="846">
      <c r="B846" s="84"/>
    </row>
    <row r="847">
      <c r="B847" s="84"/>
    </row>
    <row r="848">
      <c r="B848" s="84"/>
    </row>
    <row r="849">
      <c r="B849" s="84"/>
    </row>
    <row r="850">
      <c r="B850" s="84"/>
    </row>
    <row r="851">
      <c r="B851" s="84"/>
    </row>
    <row r="852">
      <c r="B852" s="84"/>
    </row>
    <row r="853">
      <c r="B853" s="84"/>
    </row>
    <row r="854">
      <c r="B854" s="84"/>
    </row>
    <row r="855">
      <c r="B855" s="84"/>
    </row>
    <row r="856">
      <c r="B856" s="84"/>
    </row>
    <row r="857">
      <c r="B857" s="84"/>
    </row>
    <row r="858">
      <c r="B858" s="84"/>
    </row>
    <row r="859">
      <c r="B859" s="84"/>
    </row>
    <row r="860">
      <c r="B860" s="84"/>
    </row>
    <row r="861">
      <c r="B861" s="84"/>
    </row>
    <row r="862">
      <c r="B862" s="84"/>
    </row>
    <row r="863">
      <c r="B863" s="84"/>
    </row>
    <row r="864">
      <c r="B864" s="84"/>
    </row>
    <row r="865">
      <c r="B865" s="84"/>
    </row>
    <row r="866">
      <c r="B866" s="84"/>
    </row>
    <row r="867">
      <c r="B867" s="84"/>
    </row>
    <row r="868">
      <c r="B868" s="84"/>
    </row>
    <row r="869">
      <c r="B869" s="84"/>
    </row>
    <row r="870">
      <c r="B870" s="84"/>
    </row>
    <row r="871">
      <c r="B871" s="84"/>
    </row>
    <row r="872">
      <c r="B872" s="84"/>
    </row>
    <row r="873">
      <c r="B873" s="84"/>
    </row>
    <row r="874">
      <c r="B874" s="84"/>
    </row>
    <row r="875">
      <c r="B875" s="84"/>
    </row>
    <row r="876">
      <c r="B876" s="84"/>
    </row>
    <row r="877">
      <c r="B877" s="84"/>
    </row>
    <row r="878">
      <c r="B878" s="84"/>
    </row>
    <row r="879">
      <c r="B879" s="84"/>
    </row>
    <row r="880">
      <c r="B880" s="84"/>
    </row>
    <row r="881">
      <c r="B881" s="84"/>
    </row>
    <row r="882">
      <c r="B882" s="84"/>
    </row>
    <row r="883">
      <c r="B883" s="84"/>
    </row>
    <row r="884">
      <c r="B884" s="84"/>
    </row>
    <row r="885">
      <c r="B885" s="84"/>
    </row>
    <row r="886">
      <c r="B886" s="84"/>
    </row>
    <row r="887">
      <c r="B887" s="84"/>
    </row>
    <row r="888">
      <c r="B888" s="84"/>
    </row>
    <row r="889">
      <c r="B889" s="84"/>
    </row>
    <row r="890">
      <c r="B890" s="84"/>
    </row>
    <row r="891">
      <c r="B891" s="84"/>
    </row>
    <row r="892">
      <c r="B892" s="84"/>
    </row>
    <row r="893">
      <c r="B893" s="84"/>
    </row>
    <row r="894">
      <c r="B894" s="84"/>
    </row>
    <row r="895">
      <c r="B895" s="84"/>
    </row>
    <row r="896">
      <c r="B896" s="84"/>
    </row>
    <row r="897">
      <c r="B897" s="84"/>
    </row>
    <row r="898">
      <c r="B898" s="84"/>
    </row>
    <row r="899">
      <c r="B899" s="84"/>
    </row>
    <row r="900">
      <c r="B900" s="84"/>
    </row>
    <row r="901">
      <c r="B901" s="84"/>
    </row>
    <row r="902">
      <c r="B902" s="84"/>
    </row>
    <row r="903">
      <c r="B903" s="84"/>
    </row>
    <row r="904">
      <c r="B904" s="84"/>
    </row>
    <row r="905">
      <c r="B905" s="84"/>
    </row>
    <row r="906">
      <c r="B906" s="84"/>
    </row>
    <row r="907">
      <c r="B907" s="84"/>
    </row>
    <row r="908">
      <c r="B908" s="84"/>
    </row>
    <row r="909">
      <c r="B909" s="84"/>
    </row>
    <row r="910">
      <c r="B910" s="84"/>
    </row>
    <row r="911">
      <c r="B911" s="84"/>
    </row>
    <row r="912">
      <c r="B912" s="84"/>
    </row>
    <row r="913">
      <c r="B913" s="84"/>
    </row>
    <row r="914">
      <c r="B914" s="84"/>
    </row>
    <row r="915">
      <c r="B915" s="84"/>
    </row>
    <row r="916">
      <c r="B916" s="84"/>
    </row>
    <row r="917">
      <c r="B917" s="84"/>
    </row>
    <row r="918">
      <c r="B918" s="84"/>
    </row>
    <row r="919">
      <c r="B919" s="84"/>
    </row>
    <row r="920">
      <c r="B920" s="84"/>
    </row>
    <row r="921">
      <c r="B921" s="84"/>
    </row>
    <row r="922">
      <c r="B922" s="84"/>
    </row>
    <row r="923">
      <c r="B923" s="84"/>
    </row>
    <row r="924">
      <c r="B924" s="84"/>
    </row>
    <row r="925">
      <c r="B925" s="84"/>
    </row>
    <row r="926">
      <c r="B926" s="84"/>
    </row>
    <row r="927">
      <c r="B927" s="84"/>
    </row>
    <row r="928">
      <c r="B928" s="84"/>
    </row>
    <row r="929">
      <c r="B929" s="84"/>
    </row>
    <row r="930">
      <c r="B930" s="84"/>
    </row>
    <row r="931">
      <c r="B931" s="84"/>
    </row>
    <row r="932">
      <c r="B932" s="84"/>
    </row>
    <row r="933">
      <c r="B933" s="84"/>
    </row>
    <row r="934">
      <c r="B934" s="84"/>
    </row>
    <row r="935">
      <c r="B935" s="84"/>
    </row>
    <row r="936">
      <c r="B936" s="84"/>
    </row>
    <row r="937">
      <c r="B937" s="84"/>
    </row>
    <row r="938">
      <c r="B938" s="84"/>
    </row>
    <row r="939">
      <c r="B939" s="84"/>
    </row>
    <row r="940">
      <c r="B940" s="84"/>
    </row>
    <row r="941">
      <c r="B941" s="84"/>
    </row>
    <row r="942">
      <c r="B942" s="84"/>
    </row>
    <row r="943">
      <c r="B943" s="84"/>
    </row>
    <row r="944">
      <c r="B944" s="84"/>
    </row>
    <row r="945">
      <c r="B945" s="84"/>
    </row>
    <row r="946">
      <c r="B946" s="84"/>
    </row>
    <row r="947">
      <c r="B947" s="84"/>
    </row>
    <row r="948">
      <c r="B948" s="84"/>
    </row>
    <row r="949">
      <c r="B949" s="84"/>
    </row>
    <row r="950">
      <c r="B950" s="84"/>
    </row>
    <row r="951">
      <c r="B951" s="84"/>
    </row>
    <row r="952">
      <c r="B952" s="84"/>
    </row>
    <row r="953">
      <c r="B953" s="84"/>
    </row>
    <row r="954">
      <c r="B954" s="84"/>
    </row>
    <row r="955">
      <c r="B955" s="84"/>
    </row>
    <row r="956">
      <c r="B956" s="84"/>
    </row>
    <row r="957">
      <c r="B957" s="84"/>
    </row>
    <row r="958">
      <c r="B958" s="84"/>
    </row>
    <row r="959">
      <c r="B959" s="84"/>
    </row>
    <row r="960">
      <c r="B960" s="84"/>
    </row>
    <row r="961">
      <c r="B961" s="84"/>
    </row>
    <row r="962">
      <c r="B962" s="84"/>
    </row>
    <row r="963">
      <c r="B963" s="84"/>
    </row>
    <row r="964">
      <c r="B964" s="84"/>
    </row>
    <row r="965">
      <c r="B965" s="84"/>
    </row>
    <row r="966">
      <c r="B966" s="84"/>
    </row>
    <row r="967">
      <c r="B967" s="84"/>
    </row>
    <row r="968">
      <c r="B968" s="84"/>
    </row>
    <row r="969">
      <c r="B969" s="84"/>
    </row>
    <row r="970">
      <c r="B970" s="84"/>
    </row>
    <row r="971">
      <c r="B971" s="84"/>
    </row>
    <row r="972">
      <c r="B972" s="84"/>
    </row>
    <row r="973">
      <c r="B973" s="84"/>
    </row>
    <row r="974">
      <c r="B974" s="84"/>
    </row>
    <row r="975">
      <c r="B975" s="84"/>
    </row>
    <row r="976">
      <c r="B976" s="84"/>
    </row>
    <row r="977">
      <c r="B977" s="84"/>
    </row>
    <row r="978">
      <c r="B978" s="84"/>
    </row>
    <row r="979">
      <c r="B979" s="84"/>
    </row>
    <row r="980">
      <c r="B980" s="84"/>
    </row>
    <row r="981">
      <c r="B981" s="84"/>
    </row>
    <row r="982">
      <c r="B982" s="84"/>
    </row>
    <row r="983">
      <c r="B983" s="84"/>
    </row>
    <row r="984">
      <c r="B984" s="84"/>
    </row>
    <row r="985">
      <c r="B985" s="84"/>
    </row>
    <row r="986">
      <c r="B986" s="84"/>
    </row>
    <row r="987">
      <c r="B987" s="84"/>
    </row>
    <row r="988">
      <c r="B988" s="84"/>
    </row>
    <row r="989">
      <c r="B989" s="84"/>
    </row>
    <row r="990">
      <c r="B990" s="84"/>
    </row>
    <row r="991">
      <c r="B991" s="84"/>
    </row>
    <row r="992">
      <c r="B992" s="84"/>
    </row>
    <row r="993">
      <c r="B993" s="84"/>
    </row>
    <row r="994">
      <c r="B994" s="84"/>
    </row>
    <row r="995">
      <c r="B995" s="84"/>
    </row>
  </sheetData>
  <mergeCells count="4">
    <mergeCell ref="A1:E1"/>
    <mergeCell ref="G1:L1"/>
    <mergeCell ref="N1:S1"/>
    <mergeCell ref="A14:E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4.63"/>
    <col customWidth="1" min="3" max="3" width="19.38"/>
    <col customWidth="1" min="4" max="4" width="25.63"/>
    <col customWidth="1" min="5" max="5" width="28.63"/>
    <col customWidth="1" min="8" max="8" width="19.88"/>
    <col customWidth="1" min="9" max="9" width="26.13"/>
    <col customWidth="1" min="10" max="10" width="21.88"/>
    <col customWidth="1" min="11" max="11" width="17.88"/>
    <col customWidth="1" min="12" max="12" width="25.88"/>
    <col customWidth="1" min="16" max="16" width="31.63"/>
    <col customWidth="1" min="17" max="17" width="18.38"/>
    <col customWidth="1" min="19" max="19" width="21.38"/>
  </cols>
  <sheetData>
    <row r="1">
      <c r="A1" s="88">
        <v>2026.0</v>
      </c>
      <c r="H1" s="88">
        <v>2027.0</v>
      </c>
      <c r="O1" s="88">
        <v>2028.0</v>
      </c>
    </row>
    <row r="2">
      <c r="A2" s="89" t="s">
        <v>250</v>
      </c>
      <c r="B2" s="89" t="s">
        <v>251</v>
      </c>
      <c r="C2" s="89" t="s">
        <v>252</v>
      </c>
      <c r="D2" s="89" t="s">
        <v>232</v>
      </c>
      <c r="E2" s="89" t="s">
        <v>253</v>
      </c>
      <c r="H2" s="89" t="s">
        <v>250</v>
      </c>
      <c r="I2" s="89" t="s">
        <v>251</v>
      </c>
      <c r="J2" s="89" t="s">
        <v>252</v>
      </c>
      <c r="K2" s="89" t="s">
        <v>232</v>
      </c>
      <c r="L2" s="89" t="s">
        <v>253</v>
      </c>
      <c r="O2" s="89" t="s">
        <v>250</v>
      </c>
      <c r="P2" s="89" t="s">
        <v>251</v>
      </c>
      <c r="Q2" s="89" t="s">
        <v>252</v>
      </c>
      <c r="R2" s="89" t="s">
        <v>232</v>
      </c>
      <c r="S2" s="89" t="s">
        <v>253</v>
      </c>
    </row>
    <row r="3">
      <c r="A3" s="90" t="s">
        <v>254</v>
      </c>
      <c r="B3" s="91" t="s">
        <v>255</v>
      </c>
      <c r="C3" s="92">
        <v>75000.0</v>
      </c>
      <c r="D3" s="91"/>
      <c r="E3" s="93"/>
      <c r="H3" s="90" t="s">
        <v>254</v>
      </c>
      <c r="I3" s="91" t="s">
        <v>255</v>
      </c>
      <c r="J3" s="92">
        <v>75000.0</v>
      </c>
      <c r="K3" s="91">
        <v>140.0</v>
      </c>
      <c r="L3" s="93" t="s">
        <v>256</v>
      </c>
      <c r="O3" s="90" t="s">
        <v>254</v>
      </c>
      <c r="P3" s="91" t="s">
        <v>255</v>
      </c>
      <c r="Q3" s="92">
        <v>75000.0</v>
      </c>
      <c r="R3" s="91">
        <v>180.0</v>
      </c>
      <c r="S3" s="93" t="s">
        <v>257</v>
      </c>
    </row>
    <row r="4">
      <c r="A4" s="94"/>
      <c r="B4" s="91" t="s">
        <v>258</v>
      </c>
      <c r="C4" s="92">
        <v>95000.0</v>
      </c>
      <c r="D4" s="91"/>
      <c r="E4" s="93"/>
      <c r="H4" s="94"/>
      <c r="I4" s="91" t="s">
        <v>258</v>
      </c>
      <c r="J4" s="92">
        <v>95000.0</v>
      </c>
      <c r="K4" s="91">
        <v>140.0</v>
      </c>
      <c r="L4" s="93" t="s">
        <v>259</v>
      </c>
      <c r="O4" s="94"/>
      <c r="P4" s="91" t="s">
        <v>258</v>
      </c>
      <c r="Q4" s="92">
        <v>95000.0</v>
      </c>
      <c r="R4" s="91">
        <v>180.0</v>
      </c>
      <c r="S4" s="93" t="s">
        <v>260</v>
      </c>
    </row>
    <row r="5">
      <c r="A5" s="94"/>
      <c r="B5" s="91" t="s">
        <v>261</v>
      </c>
      <c r="C5" s="92">
        <v>155000.0</v>
      </c>
      <c r="D5" s="91"/>
      <c r="E5" s="93"/>
      <c r="H5" s="94"/>
      <c r="I5" s="91" t="s">
        <v>261</v>
      </c>
      <c r="J5" s="92">
        <v>155000.0</v>
      </c>
      <c r="K5" s="91">
        <v>40.0</v>
      </c>
      <c r="L5" s="93" t="s">
        <v>262</v>
      </c>
      <c r="O5" s="94"/>
      <c r="P5" s="91" t="s">
        <v>261</v>
      </c>
      <c r="Q5" s="92">
        <v>155000.0</v>
      </c>
      <c r="R5" s="91">
        <v>60.0</v>
      </c>
      <c r="S5" s="93" t="s">
        <v>263</v>
      </c>
    </row>
    <row r="6">
      <c r="A6" s="95"/>
      <c r="B6" s="91" t="s">
        <v>264</v>
      </c>
      <c r="C6" s="92">
        <v>62000.0</v>
      </c>
      <c r="D6" s="91"/>
      <c r="E6" s="93"/>
      <c r="H6" s="95"/>
      <c r="I6" s="91" t="s">
        <v>264</v>
      </c>
      <c r="J6" s="92">
        <v>62000.0</v>
      </c>
      <c r="K6" s="91">
        <v>60.0</v>
      </c>
      <c r="L6" s="93" t="s">
        <v>265</v>
      </c>
      <c r="O6" s="95"/>
      <c r="P6" s="91" t="s">
        <v>264</v>
      </c>
      <c r="Q6" s="92">
        <v>62000.0</v>
      </c>
      <c r="R6" s="91">
        <v>80.0</v>
      </c>
      <c r="S6" s="93" t="s">
        <v>266</v>
      </c>
    </row>
    <row r="7">
      <c r="A7" s="96" t="s">
        <v>267</v>
      </c>
      <c r="B7" s="91" t="s">
        <v>255</v>
      </c>
      <c r="C7" s="92">
        <v>75000.0</v>
      </c>
      <c r="D7" s="91"/>
      <c r="E7" s="93"/>
      <c r="H7" s="96" t="s">
        <v>267</v>
      </c>
      <c r="I7" s="91" t="s">
        <v>255</v>
      </c>
      <c r="J7" s="92">
        <v>75000.0</v>
      </c>
      <c r="K7" s="91">
        <v>100.0</v>
      </c>
      <c r="L7" s="93" t="s">
        <v>268</v>
      </c>
      <c r="O7" s="96" t="s">
        <v>267</v>
      </c>
      <c r="P7" s="91" t="s">
        <v>255</v>
      </c>
      <c r="Q7" s="92">
        <v>75000.0</v>
      </c>
      <c r="R7" s="91">
        <v>130.0</v>
      </c>
      <c r="S7" s="93" t="s">
        <v>269</v>
      </c>
    </row>
    <row r="8">
      <c r="A8" s="94"/>
      <c r="B8" s="91" t="s">
        <v>258</v>
      </c>
      <c r="C8" s="92">
        <v>95000.0</v>
      </c>
      <c r="D8" s="91"/>
      <c r="E8" s="93"/>
      <c r="H8" s="94"/>
      <c r="I8" s="91" t="s">
        <v>258</v>
      </c>
      <c r="J8" s="92">
        <v>95000.0</v>
      </c>
      <c r="K8" s="91">
        <v>100.0</v>
      </c>
      <c r="L8" s="93" t="s">
        <v>270</v>
      </c>
      <c r="O8" s="94"/>
      <c r="P8" s="91" t="s">
        <v>258</v>
      </c>
      <c r="Q8" s="92">
        <v>95000.0</v>
      </c>
      <c r="R8" s="91">
        <v>130.0</v>
      </c>
      <c r="S8" s="93" t="s">
        <v>271</v>
      </c>
    </row>
    <row r="9">
      <c r="A9" s="94"/>
      <c r="B9" s="91" t="s">
        <v>261</v>
      </c>
      <c r="C9" s="92">
        <v>155000.0</v>
      </c>
      <c r="D9" s="91"/>
      <c r="E9" s="93"/>
      <c r="H9" s="94"/>
      <c r="I9" s="91" t="s">
        <v>261</v>
      </c>
      <c r="J9" s="92">
        <v>155000.0</v>
      </c>
      <c r="K9" s="91">
        <v>30.0</v>
      </c>
      <c r="L9" s="93" t="s">
        <v>272</v>
      </c>
      <c r="O9" s="94"/>
      <c r="P9" s="91" t="s">
        <v>261</v>
      </c>
      <c r="Q9" s="92">
        <v>155000.0</v>
      </c>
      <c r="R9" s="91">
        <v>40.0</v>
      </c>
      <c r="S9" s="93" t="s">
        <v>262</v>
      </c>
    </row>
    <row r="10">
      <c r="A10" s="95"/>
      <c r="B10" s="91" t="s">
        <v>264</v>
      </c>
      <c r="C10" s="92">
        <v>62000.0</v>
      </c>
      <c r="D10" s="91"/>
      <c r="E10" s="93"/>
      <c r="H10" s="95"/>
      <c r="I10" s="91" t="s">
        <v>264</v>
      </c>
      <c r="J10" s="92">
        <v>62000.0</v>
      </c>
      <c r="K10" s="91">
        <v>50.0</v>
      </c>
      <c r="L10" s="93" t="s">
        <v>273</v>
      </c>
      <c r="O10" s="95"/>
      <c r="P10" s="91" t="s">
        <v>264</v>
      </c>
      <c r="Q10" s="92">
        <v>62000.0</v>
      </c>
      <c r="R10" s="91">
        <v>60.0</v>
      </c>
      <c r="S10" s="93" t="s">
        <v>265</v>
      </c>
    </row>
    <row r="11">
      <c r="A11" s="96" t="s">
        <v>274</v>
      </c>
      <c r="B11" s="91" t="s">
        <v>255</v>
      </c>
      <c r="C11" s="92">
        <v>75000.0</v>
      </c>
      <c r="D11" s="91"/>
      <c r="E11" s="93"/>
      <c r="H11" s="96" t="s">
        <v>274</v>
      </c>
      <c r="I11" s="91" t="s">
        <v>255</v>
      </c>
      <c r="J11" s="92">
        <v>75000.0</v>
      </c>
      <c r="K11" s="91">
        <v>75.0</v>
      </c>
      <c r="L11" s="93" t="s">
        <v>275</v>
      </c>
      <c r="O11" s="96" t="s">
        <v>274</v>
      </c>
      <c r="P11" s="91" t="s">
        <v>255</v>
      </c>
      <c r="Q11" s="92">
        <v>75000.0</v>
      </c>
      <c r="R11" s="91">
        <v>100.0</v>
      </c>
      <c r="S11" s="93" t="s">
        <v>268</v>
      </c>
    </row>
    <row r="12">
      <c r="A12" s="94"/>
      <c r="B12" s="91" t="s">
        <v>258</v>
      </c>
      <c r="C12" s="92">
        <v>95000.0</v>
      </c>
      <c r="D12" s="91"/>
      <c r="E12" s="93"/>
      <c r="H12" s="94"/>
      <c r="I12" s="91" t="s">
        <v>258</v>
      </c>
      <c r="J12" s="92">
        <v>95000.0</v>
      </c>
      <c r="K12" s="91">
        <v>75.0</v>
      </c>
      <c r="L12" s="93" t="s">
        <v>276</v>
      </c>
      <c r="O12" s="94"/>
      <c r="P12" s="91" t="s">
        <v>258</v>
      </c>
      <c r="Q12" s="92">
        <v>95000.0</v>
      </c>
      <c r="R12" s="91">
        <v>100.0</v>
      </c>
      <c r="S12" s="93" t="s">
        <v>270</v>
      </c>
    </row>
    <row r="13">
      <c r="A13" s="94"/>
      <c r="B13" s="91" t="s">
        <v>261</v>
      </c>
      <c r="C13" s="92">
        <v>155000.0</v>
      </c>
      <c r="D13" s="91"/>
      <c r="E13" s="93"/>
      <c r="H13" s="94"/>
      <c r="I13" s="91" t="s">
        <v>261</v>
      </c>
      <c r="J13" s="92">
        <v>155000.0</v>
      </c>
      <c r="K13" s="91">
        <v>20.0</v>
      </c>
      <c r="L13" s="93" t="s">
        <v>273</v>
      </c>
      <c r="O13" s="94"/>
      <c r="P13" s="91" t="s">
        <v>261</v>
      </c>
      <c r="Q13" s="92">
        <v>155000.0</v>
      </c>
      <c r="R13" s="91">
        <v>30.0</v>
      </c>
      <c r="S13" s="93" t="s">
        <v>272</v>
      </c>
    </row>
    <row r="14">
      <c r="A14" s="95"/>
      <c r="B14" s="91" t="s">
        <v>264</v>
      </c>
      <c r="C14" s="92">
        <v>62000.0</v>
      </c>
      <c r="D14" s="91"/>
      <c r="E14" s="93"/>
      <c r="H14" s="95"/>
      <c r="I14" s="91" t="s">
        <v>264</v>
      </c>
      <c r="J14" s="92">
        <v>62000.0</v>
      </c>
      <c r="K14" s="91">
        <v>40.0</v>
      </c>
      <c r="L14" s="93" t="s">
        <v>277</v>
      </c>
      <c r="O14" s="95"/>
      <c r="P14" s="91" t="s">
        <v>264</v>
      </c>
      <c r="Q14" s="92">
        <v>62000.0</v>
      </c>
      <c r="R14" s="91">
        <v>40.0</v>
      </c>
      <c r="S14" s="93" t="s">
        <v>277</v>
      </c>
    </row>
    <row r="15">
      <c r="A15" s="96" t="s">
        <v>278</v>
      </c>
      <c r="B15" s="91" t="s">
        <v>255</v>
      </c>
      <c r="C15" s="92">
        <v>75000.0</v>
      </c>
      <c r="D15" s="91">
        <v>80.0</v>
      </c>
      <c r="E15" s="93" t="s">
        <v>279</v>
      </c>
      <c r="H15" s="96" t="s">
        <v>278</v>
      </c>
      <c r="I15" s="91" t="s">
        <v>255</v>
      </c>
      <c r="J15" s="92">
        <v>75000.0</v>
      </c>
      <c r="K15" s="91">
        <v>80.0</v>
      </c>
      <c r="L15" s="93" t="s">
        <v>279</v>
      </c>
      <c r="O15" s="96" t="s">
        <v>278</v>
      </c>
      <c r="P15" s="91" t="s">
        <v>255</v>
      </c>
      <c r="Q15" s="92">
        <v>75000.0</v>
      </c>
      <c r="R15" s="91">
        <v>110.0</v>
      </c>
      <c r="S15" s="93" t="s">
        <v>280</v>
      </c>
    </row>
    <row r="16">
      <c r="A16" s="94"/>
      <c r="B16" s="91" t="s">
        <v>258</v>
      </c>
      <c r="C16" s="92">
        <v>95000.0</v>
      </c>
      <c r="D16" s="91">
        <v>80.0</v>
      </c>
      <c r="E16" s="93" t="s">
        <v>281</v>
      </c>
      <c r="H16" s="94"/>
      <c r="I16" s="91" t="s">
        <v>258</v>
      </c>
      <c r="J16" s="92">
        <v>95000.0</v>
      </c>
      <c r="K16" s="91">
        <v>80.0</v>
      </c>
      <c r="L16" s="93" t="s">
        <v>281</v>
      </c>
      <c r="O16" s="94"/>
      <c r="P16" s="91" t="s">
        <v>258</v>
      </c>
      <c r="Q16" s="92">
        <v>95000.0</v>
      </c>
      <c r="R16" s="91">
        <v>110.0</v>
      </c>
      <c r="S16" s="93" t="s">
        <v>282</v>
      </c>
    </row>
    <row r="17">
      <c r="A17" s="94"/>
      <c r="B17" s="91" t="s">
        <v>261</v>
      </c>
      <c r="C17" s="92">
        <v>155000.0</v>
      </c>
      <c r="D17" s="91">
        <v>20.0</v>
      </c>
      <c r="E17" s="93" t="s">
        <v>273</v>
      </c>
      <c r="H17" s="94"/>
      <c r="I17" s="91" t="s">
        <v>261</v>
      </c>
      <c r="J17" s="92">
        <v>155000.0</v>
      </c>
      <c r="K17" s="91">
        <v>20.0</v>
      </c>
      <c r="L17" s="93" t="s">
        <v>273</v>
      </c>
      <c r="O17" s="94"/>
      <c r="P17" s="91" t="s">
        <v>261</v>
      </c>
      <c r="Q17" s="92">
        <v>155000.0</v>
      </c>
      <c r="R17" s="91">
        <v>30.0</v>
      </c>
      <c r="S17" s="93" t="s">
        <v>272</v>
      </c>
    </row>
    <row r="18">
      <c r="A18" s="95"/>
      <c r="B18" s="91" t="s">
        <v>264</v>
      </c>
      <c r="C18" s="92">
        <v>62000.0</v>
      </c>
      <c r="D18" s="91">
        <v>40.0</v>
      </c>
      <c r="E18" s="93" t="s">
        <v>277</v>
      </c>
      <c r="H18" s="95"/>
      <c r="I18" s="91" t="s">
        <v>264</v>
      </c>
      <c r="J18" s="92">
        <v>62000.0</v>
      </c>
      <c r="K18" s="91">
        <v>40.0</v>
      </c>
      <c r="L18" s="93" t="s">
        <v>277</v>
      </c>
      <c r="O18" s="95"/>
      <c r="P18" s="91" t="s">
        <v>264</v>
      </c>
      <c r="Q18" s="92">
        <v>62000.0</v>
      </c>
      <c r="R18" s="91">
        <v>50.0</v>
      </c>
      <c r="S18" s="93" t="s">
        <v>273</v>
      </c>
    </row>
    <row r="19">
      <c r="A19" s="96" t="s">
        <v>283</v>
      </c>
      <c r="B19" s="91" t="s">
        <v>255</v>
      </c>
      <c r="C19" s="92">
        <v>75000.0</v>
      </c>
      <c r="D19" s="91">
        <v>80.0</v>
      </c>
      <c r="E19" s="93" t="s">
        <v>279</v>
      </c>
      <c r="H19" s="96" t="s">
        <v>283</v>
      </c>
      <c r="I19" s="91" t="s">
        <v>255</v>
      </c>
      <c r="J19" s="92">
        <v>75000.0</v>
      </c>
      <c r="K19" s="91">
        <v>85.0</v>
      </c>
      <c r="L19" s="93" t="s">
        <v>284</v>
      </c>
      <c r="O19" s="96" t="s">
        <v>283</v>
      </c>
      <c r="P19" s="91" t="s">
        <v>255</v>
      </c>
      <c r="Q19" s="92">
        <v>75000.0</v>
      </c>
      <c r="R19" s="91">
        <v>110.0</v>
      </c>
      <c r="S19" s="93" t="s">
        <v>280</v>
      </c>
    </row>
    <row r="20">
      <c r="A20" s="94"/>
      <c r="B20" s="91" t="s">
        <v>258</v>
      </c>
      <c r="C20" s="92">
        <v>95000.0</v>
      </c>
      <c r="D20" s="91">
        <v>80.0</v>
      </c>
      <c r="E20" s="93" t="s">
        <v>281</v>
      </c>
      <c r="H20" s="94"/>
      <c r="I20" s="91" t="s">
        <v>258</v>
      </c>
      <c r="J20" s="92">
        <v>95000.0</v>
      </c>
      <c r="K20" s="91">
        <v>85.0</v>
      </c>
      <c r="L20" s="93" t="s">
        <v>285</v>
      </c>
      <c r="O20" s="94"/>
      <c r="P20" s="91" t="s">
        <v>258</v>
      </c>
      <c r="Q20" s="92">
        <v>95000.0</v>
      </c>
      <c r="R20" s="91">
        <v>110.0</v>
      </c>
      <c r="S20" s="93" t="s">
        <v>282</v>
      </c>
    </row>
    <row r="21">
      <c r="A21" s="94"/>
      <c r="B21" s="91" t="s">
        <v>261</v>
      </c>
      <c r="C21" s="92">
        <v>155000.0</v>
      </c>
      <c r="D21" s="91">
        <v>20.0</v>
      </c>
      <c r="E21" s="93" t="s">
        <v>273</v>
      </c>
      <c r="H21" s="94"/>
      <c r="I21" s="91" t="s">
        <v>261</v>
      </c>
      <c r="J21" s="92">
        <v>155000.0</v>
      </c>
      <c r="K21" s="91">
        <v>25.0</v>
      </c>
      <c r="L21" s="93" t="s">
        <v>286</v>
      </c>
      <c r="O21" s="94"/>
      <c r="P21" s="91" t="s">
        <v>261</v>
      </c>
      <c r="Q21" s="92">
        <v>155000.0</v>
      </c>
      <c r="R21" s="91">
        <v>30.0</v>
      </c>
      <c r="S21" s="93" t="s">
        <v>272</v>
      </c>
    </row>
    <row r="22">
      <c r="A22" s="95"/>
      <c r="B22" s="91" t="s">
        <v>264</v>
      </c>
      <c r="C22" s="92">
        <v>62000.0</v>
      </c>
      <c r="D22" s="91">
        <v>40.0</v>
      </c>
      <c r="E22" s="93" t="s">
        <v>277</v>
      </c>
      <c r="H22" s="95"/>
      <c r="I22" s="91" t="s">
        <v>264</v>
      </c>
      <c r="J22" s="92">
        <v>62000.0</v>
      </c>
      <c r="K22" s="91">
        <v>40.0</v>
      </c>
      <c r="L22" s="93" t="s">
        <v>277</v>
      </c>
      <c r="O22" s="95"/>
      <c r="P22" s="91" t="s">
        <v>264</v>
      </c>
      <c r="Q22" s="92">
        <v>62000.0</v>
      </c>
      <c r="R22" s="91">
        <v>50.0</v>
      </c>
      <c r="S22" s="93" t="s">
        <v>273</v>
      </c>
    </row>
    <row r="23">
      <c r="A23" s="96" t="s">
        <v>287</v>
      </c>
      <c r="B23" s="91" t="s">
        <v>255</v>
      </c>
      <c r="C23" s="92">
        <v>75000.0</v>
      </c>
      <c r="D23" s="91">
        <v>85.0</v>
      </c>
      <c r="E23" s="93" t="s">
        <v>284</v>
      </c>
      <c r="H23" s="96" t="s">
        <v>287</v>
      </c>
      <c r="I23" s="91" t="s">
        <v>255</v>
      </c>
      <c r="J23" s="92">
        <v>75000.0</v>
      </c>
      <c r="K23" s="91">
        <v>90.0</v>
      </c>
      <c r="L23" s="93" t="s">
        <v>288</v>
      </c>
      <c r="O23" s="96" t="s">
        <v>287</v>
      </c>
      <c r="P23" s="91" t="s">
        <v>255</v>
      </c>
      <c r="Q23" s="92">
        <v>75000.0</v>
      </c>
      <c r="R23" s="91">
        <v>120.0</v>
      </c>
      <c r="S23" s="93" t="s">
        <v>289</v>
      </c>
    </row>
    <row r="24">
      <c r="A24" s="94"/>
      <c r="B24" s="91" t="s">
        <v>258</v>
      </c>
      <c r="C24" s="92">
        <v>95000.0</v>
      </c>
      <c r="D24" s="91">
        <v>85.0</v>
      </c>
      <c r="E24" s="93" t="s">
        <v>285</v>
      </c>
      <c r="H24" s="94"/>
      <c r="I24" s="91" t="s">
        <v>258</v>
      </c>
      <c r="J24" s="92">
        <v>95000.0</v>
      </c>
      <c r="K24" s="91">
        <v>90.0</v>
      </c>
      <c r="L24" s="93" t="s">
        <v>290</v>
      </c>
      <c r="O24" s="94"/>
      <c r="P24" s="91" t="s">
        <v>258</v>
      </c>
      <c r="Q24" s="92">
        <v>95000.0</v>
      </c>
      <c r="R24" s="91">
        <v>120.0</v>
      </c>
      <c r="S24" s="93" t="s">
        <v>291</v>
      </c>
    </row>
    <row r="25">
      <c r="A25" s="94"/>
      <c r="B25" s="91" t="s">
        <v>261</v>
      </c>
      <c r="C25" s="92">
        <v>155000.0</v>
      </c>
      <c r="D25" s="91">
        <v>20.0</v>
      </c>
      <c r="E25" s="93" t="s">
        <v>273</v>
      </c>
      <c r="H25" s="94"/>
      <c r="I25" s="91" t="s">
        <v>261</v>
      </c>
      <c r="J25" s="92">
        <v>155000.0</v>
      </c>
      <c r="K25" s="91">
        <v>25.0</v>
      </c>
      <c r="L25" s="93" t="s">
        <v>286</v>
      </c>
      <c r="O25" s="94"/>
      <c r="P25" s="91" t="s">
        <v>261</v>
      </c>
      <c r="Q25" s="92">
        <v>155000.0</v>
      </c>
      <c r="R25" s="91">
        <v>40.0</v>
      </c>
      <c r="S25" s="93" t="s">
        <v>262</v>
      </c>
    </row>
    <row r="26">
      <c r="A26" s="95"/>
      <c r="B26" s="91" t="s">
        <v>264</v>
      </c>
      <c r="C26" s="92">
        <v>62000.0</v>
      </c>
      <c r="D26" s="91">
        <v>40.0</v>
      </c>
      <c r="E26" s="93" t="s">
        <v>277</v>
      </c>
      <c r="H26" s="95"/>
      <c r="I26" s="91" t="s">
        <v>264</v>
      </c>
      <c r="J26" s="92">
        <v>62000.0</v>
      </c>
      <c r="K26" s="91">
        <v>45.0</v>
      </c>
      <c r="L26" s="93" t="s">
        <v>292</v>
      </c>
      <c r="O26" s="95"/>
      <c r="P26" s="91" t="s">
        <v>264</v>
      </c>
      <c r="Q26" s="92">
        <v>62000.0</v>
      </c>
      <c r="R26" s="91">
        <v>50.0</v>
      </c>
      <c r="S26" s="93" t="s">
        <v>273</v>
      </c>
    </row>
    <row r="27">
      <c r="A27" s="96" t="s">
        <v>293</v>
      </c>
      <c r="B27" s="91" t="s">
        <v>255</v>
      </c>
      <c r="C27" s="92">
        <v>75000.0</v>
      </c>
      <c r="D27" s="91">
        <v>85.0</v>
      </c>
      <c r="E27" s="93" t="s">
        <v>284</v>
      </c>
      <c r="H27" s="96" t="s">
        <v>293</v>
      </c>
      <c r="I27" s="91" t="s">
        <v>255</v>
      </c>
      <c r="J27" s="92">
        <v>75000.0</v>
      </c>
      <c r="K27" s="91">
        <v>80.0</v>
      </c>
      <c r="L27" s="93" t="s">
        <v>279</v>
      </c>
      <c r="O27" s="96" t="s">
        <v>293</v>
      </c>
      <c r="P27" s="91" t="s">
        <v>255</v>
      </c>
      <c r="Q27" s="92">
        <v>75000.0</v>
      </c>
      <c r="R27" s="91">
        <v>110.0</v>
      </c>
      <c r="S27" s="93" t="s">
        <v>280</v>
      </c>
    </row>
    <row r="28">
      <c r="A28" s="94"/>
      <c r="B28" s="91" t="s">
        <v>258</v>
      </c>
      <c r="C28" s="92">
        <v>95000.0</v>
      </c>
      <c r="D28" s="91">
        <v>85.0</v>
      </c>
      <c r="E28" s="93" t="s">
        <v>285</v>
      </c>
      <c r="H28" s="94"/>
      <c r="I28" s="91" t="s">
        <v>258</v>
      </c>
      <c r="J28" s="92">
        <v>95000.0</v>
      </c>
      <c r="K28" s="91">
        <v>80.0</v>
      </c>
      <c r="L28" s="93" t="s">
        <v>281</v>
      </c>
      <c r="O28" s="94"/>
      <c r="P28" s="91" t="s">
        <v>258</v>
      </c>
      <c r="Q28" s="92">
        <v>95000.0</v>
      </c>
      <c r="R28" s="91">
        <v>110.0</v>
      </c>
      <c r="S28" s="93" t="s">
        <v>282</v>
      </c>
    </row>
    <row r="29">
      <c r="A29" s="94"/>
      <c r="B29" s="91" t="s">
        <v>261</v>
      </c>
      <c r="C29" s="92">
        <v>155000.0</v>
      </c>
      <c r="D29" s="91">
        <v>20.0</v>
      </c>
      <c r="E29" s="93" t="s">
        <v>273</v>
      </c>
      <c r="H29" s="94"/>
      <c r="I29" s="91" t="s">
        <v>261</v>
      </c>
      <c r="J29" s="92">
        <v>155000.0</v>
      </c>
      <c r="K29" s="91">
        <v>20.0</v>
      </c>
      <c r="L29" s="93" t="s">
        <v>273</v>
      </c>
      <c r="O29" s="94"/>
      <c r="P29" s="91" t="s">
        <v>261</v>
      </c>
      <c r="Q29" s="92">
        <v>155000.0</v>
      </c>
      <c r="R29" s="91">
        <v>30.0</v>
      </c>
      <c r="S29" s="93" t="s">
        <v>272</v>
      </c>
    </row>
    <row r="30">
      <c r="A30" s="95"/>
      <c r="B30" s="91" t="s">
        <v>264</v>
      </c>
      <c r="C30" s="92">
        <v>62000.0</v>
      </c>
      <c r="D30" s="91">
        <v>40.0</v>
      </c>
      <c r="E30" s="93" t="s">
        <v>277</v>
      </c>
      <c r="H30" s="95"/>
      <c r="I30" s="91" t="s">
        <v>264</v>
      </c>
      <c r="J30" s="92">
        <v>62000.0</v>
      </c>
      <c r="K30" s="91">
        <v>40.0</v>
      </c>
      <c r="L30" s="93" t="s">
        <v>277</v>
      </c>
      <c r="O30" s="95"/>
      <c r="P30" s="91" t="s">
        <v>264</v>
      </c>
      <c r="Q30" s="92">
        <v>62000.0</v>
      </c>
      <c r="R30" s="91">
        <v>50.0</v>
      </c>
      <c r="S30" s="93" t="s">
        <v>273</v>
      </c>
    </row>
    <row r="31">
      <c r="A31" s="96" t="s">
        <v>294</v>
      </c>
      <c r="B31" s="91" t="s">
        <v>255</v>
      </c>
      <c r="C31" s="92">
        <v>75000.0</v>
      </c>
      <c r="D31" s="91">
        <v>85.0</v>
      </c>
      <c r="E31" s="93" t="s">
        <v>284</v>
      </c>
      <c r="H31" s="96" t="s">
        <v>294</v>
      </c>
      <c r="I31" s="91" t="s">
        <v>255</v>
      </c>
      <c r="J31" s="92">
        <v>75000.0</v>
      </c>
      <c r="K31" s="91">
        <v>100.0</v>
      </c>
      <c r="L31" s="93" t="s">
        <v>268</v>
      </c>
      <c r="O31" s="96" t="s">
        <v>294</v>
      </c>
      <c r="P31" s="91" t="s">
        <v>255</v>
      </c>
      <c r="Q31" s="92">
        <v>75000.0</v>
      </c>
      <c r="R31" s="91">
        <v>130.0</v>
      </c>
      <c r="S31" s="93" t="s">
        <v>269</v>
      </c>
    </row>
    <row r="32">
      <c r="A32" s="94"/>
      <c r="B32" s="91" t="s">
        <v>258</v>
      </c>
      <c r="C32" s="92">
        <v>95000.0</v>
      </c>
      <c r="D32" s="91">
        <v>85.0</v>
      </c>
      <c r="E32" s="93" t="s">
        <v>285</v>
      </c>
      <c r="H32" s="94"/>
      <c r="I32" s="91" t="s">
        <v>258</v>
      </c>
      <c r="J32" s="92">
        <v>95000.0</v>
      </c>
      <c r="K32" s="91">
        <v>100.0</v>
      </c>
      <c r="L32" s="93" t="s">
        <v>270</v>
      </c>
      <c r="O32" s="94"/>
      <c r="P32" s="91" t="s">
        <v>258</v>
      </c>
      <c r="Q32" s="92">
        <v>95000.0</v>
      </c>
      <c r="R32" s="91">
        <v>130.0</v>
      </c>
      <c r="S32" s="93" t="s">
        <v>271</v>
      </c>
    </row>
    <row r="33">
      <c r="A33" s="94"/>
      <c r="B33" s="91" t="s">
        <v>261</v>
      </c>
      <c r="C33" s="92">
        <v>155000.0</v>
      </c>
      <c r="D33" s="91">
        <v>20.0</v>
      </c>
      <c r="E33" s="93" t="s">
        <v>273</v>
      </c>
      <c r="H33" s="94"/>
      <c r="I33" s="91" t="s">
        <v>261</v>
      </c>
      <c r="J33" s="92">
        <v>155000.0</v>
      </c>
      <c r="K33" s="91">
        <v>30.0</v>
      </c>
      <c r="L33" s="93" t="s">
        <v>272</v>
      </c>
      <c r="O33" s="94"/>
      <c r="P33" s="91" t="s">
        <v>261</v>
      </c>
      <c r="Q33" s="92">
        <v>155000.0</v>
      </c>
      <c r="R33" s="91">
        <v>40.0</v>
      </c>
      <c r="S33" s="93" t="s">
        <v>262</v>
      </c>
    </row>
    <row r="34">
      <c r="A34" s="95"/>
      <c r="B34" s="91" t="s">
        <v>264</v>
      </c>
      <c r="C34" s="92">
        <v>62000.0</v>
      </c>
      <c r="D34" s="91">
        <v>40.0</v>
      </c>
      <c r="E34" s="93" t="s">
        <v>277</v>
      </c>
      <c r="H34" s="95"/>
      <c r="I34" s="91" t="s">
        <v>264</v>
      </c>
      <c r="J34" s="92">
        <v>62000.0</v>
      </c>
      <c r="K34" s="91">
        <v>50.0</v>
      </c>
      <c r="L34" s="93" t="s">
        <v>273</v>
      </c>
      <c r="O34" s="95"/>
      <c r="P34" s="91" t="s">
        <v>264</v>
      </c>
      <c r="Q34" s="92">
        <v>62000.0</v>
      </c>
      <c r="R34" s="91">
        <v>60.0</v>
      </c>
      <c r="S34" s="93" t="s">
        <v>265</v>
      </c>
    </row>
    <row r="35">
      <c r="A35" s="96" t="s">
        <v>295</v>
      </c>
      <c r="B35" s="91" t="s">
        <v>255</v>
      </c>
      <c r="C35" s="92">
        <v>75000.0</v>
      </c>
      <c r="D35" s="91">
        <v>90.0</v>
      </c>
      <c r="E35" s="93" t="s">
        <v>288</v>
      </c>
      <c r="H35" s="96" t="s">
        <v>295</v>
      </c>
      <c r="I35" s="91" t="s">
        <v>255</v>
      </c>
      <c r="J35" s="92">
        <v>75000.0</v>
      </c>
      <c r="K35" s="91">
        <v>120.0</v>
      </c>
      <c r="L35" s="93" t="s">
        <v>289</v>
      </c>
      <c r="O35" s="96" t="s">
        <v>295</v>
      </c>
      <c r="P35" s="91" t="s">
        <v>255</v>
      </c>
      <c r="Q35" s="92">
        <v>75000.0</v>
      </c>
      <c r="R35" s="91">
        <v>160.0</v>
      </c>
      <c r="S35" s="93" t="s">
        <v>296</v>
      </c>
    </row>
    <row r="36">
      <c r="A36" s="94"/>
      <c r="B36" s="91" t="s">
        <v>258</v>
      </c>
      <c r="C36" s="92">
        <v>95000.0</v>
      </c>
      <c r="D36" s="91">
        <v>90.0</v>
      </c>
      <c r="E36" s="93" t="s">
        <v>290</v>
      </c>
      <c r="H36" s="94"/>
      <c r="I36" s="91" t="s">
        <v>258</v>
      </c>
      <c r="J36" s="92">
        <v>95000.0</v>
      </c>
      <c r="K36" s="91">
        <v>120.0</v>
      </c>
      <c r="L36" s="93" t="s">
        <v>291</v>
      </c>
      <c r="O36" s="94"/>
      <c r="P36" s="91" t="s">
        <v>258</v>
      </c>
      <c r="Q36" s="92">
        <v>95000.0</v>
      </c>
      <c r="R36" s="91">
        <v>160.0</v>
      </c>
      <c r="S36" s="93" t="s">
        <v>297</v>
      </c>
    </row>
    <row r="37">
      <c r="A37" s="94"/>
      <c r="B37" s="91" t="s">
        <v>261</v>
      </c>
      <c r="C37" s="92">
        <v>155000.0</v>
      </c>
      <c r="D37" s="91">
        <v>25.0</v>
      </c>
      <c r="E37" s="93" t="s">
        <v>286</v>
      </c>
      <c r="H37" s="94"/>
      <c r="I37" s="91" t="s">
        <v>261</v>
      </c>
      <c r="J37" s="92">
        <v>155000.0</v>
      </c>
      <c r="K37" s="91">
        <v>40.0</v>
      </c>
      <c r="L37" s="93" t="s">
        <v>262</v>
      </c>
      <c r="O37" s="94"/>
      <c r="P37" s="91" t="s">
        <v>261</v>
      </c>
      <c r="Q37" s="92">
        <v>155000.0</v>
      </c>
      <c r="R37" s="91">
        <v>50.0</v>
      </c>
      <c r="S37" s="93" t="s">
        <v>298</v>
      </c>
    </row>
    <row r="38">
      <c r="A38" s="95"/>
      <c r="B38" s="91" t="s">
        <v>264</v>
      </c>
      <c r="C38" s="92">
        <v>62000.0</v>
      </c>
      <c r="D38" s="91">
        <v>45.0</v>
      </c>
      <c r="E38" s="93" t="s">
        <v>292</v>
      </c>
      <c r="H38" s="95"/>
      <c r="I38" s="91" t="s">
        <v>264</v>
      </c>
      <c r="J38" s="92">
        <v>62000.0</v>
      </c>
      <c r="K38" s="91">
        <v>60.0</v>
      </c>
      <c r="L38" s="93" t="s">
        <v>265</v>
      </c>
      <c r="O38" s="95"/>
      <c r="P38" s="91" t="s">
        <v>264</v>
      </c>
      <c r="Q38" s="92">
        <v>62000.0</v>
      </c>
      <c r="R38" s="91">
        <v>70.0</v>
      </c>
      <c r="S38" s="93" t="s">
        <v>299</v>
      </c>
    </row>
    <row r="39">
      <c r="A39" s="96" t="s">
        <v>300</v>
      </c>
      <c r="B39" s="91" t="s">
        <v>255</v>
      </c>
      <c r="C39" s="92">
        <v>75000.0</v>
      </c>
      <c r="D39" s="91">
        <v>95.0</v>
      </c>
      <c r="E39" s="93" t="s">
        <v>276</v>
      </c>
      <c r="H39" s="96" t="s">
        <v>300</v>
      </c>
      <c r="I39" s="91" t="s">
        <v>255</v>
      </c>
      <c r="J39" s="92">
        <v>75000.0</v>
      </c>
      <c r="K39" s="91">
        <v>90.0</v>
      </c>
      <c r="L39" s="93" t="s">
        <v>288</v>
      </c>
      <c r="O39" s="96" t="s">
        <v>300</v>
      </c>
      <c r="P39" s="91" t="s">
        <v>255</v>
      </c>
      <c r="Q39" s="92">
        <v>75000.0</v>
      </c>
      <c r="R39" s="91">
        <v>130.0</v>
      </c>
      <c r="S39" s="93" t="s">
        <v>269</v>
      </c>
    </row>
    <row r="40">
      <c r="A40" s="94"/>
      <c r="B40" s="91" t="s">
        <v>258</v>
      </c>
      <c r="C40" s="92">
        <v>95000.0</v>
      </c>
      <c r="D40" s="91">
        <v>95.0</v>
      </c>
      <c r="E40" s="93" t="s">
        <v>301</v>
      </c>
      <c r="H40" s="94"/>
      <c r="I40" s="91" t="s">
        <v>258</v>
      </c>
      <c r="J40" s="92">
        <v>95000.0</v>
      </c>
      <c r="K40" s="91">
        <v>90.0</v>
      </c>
      <c r="L40" s="93" t="s">
        <v>290</v>
      </c>
      <c r="O40" s="94"/>
      <c r="P40" s="91" t="s">
        <v>258</v>
      </c>
      <c r="Q40" s="92">
        <v>95000.0</v>
      </c>
      <c r="R40" s="91">
        <v>130.0</v>
      </c>
      <c r="S40" s="93" t="s">
        <v>271</v>
      </c>
    </row>
    <row r="41">
      <c r="A41" s="94"/>
      <c r="B41" s="91" t="s">
        <v>261</v>
      </c>
      <c r="C41" s="92">
        <v>155000.0</v>
      </c>
      <c r="D41" s="91">
        <v>25.0</v>
      </c>
      <c r="E41" s="93" t="s">
        <v>286</v>
      </c>
      <c r="H41" s="94"/>
      <c r="I41" s="91" t="s">
        <v>261</v>
      </c>
      <c r="J41" s="92">
        <v>155000.0</v>
      </c>
      <c r="K41" s="91">
        <v>25.0</v>
      </c>
      <c r="L41" s="93" t="s">
        <v>286</v>
      </c>
      <c r="O41" s="94"/>
      <c r="P41" s="91" t="s">
        <v>261</v>
      </c>
      <c r="Q41" s="92">
        <v>155000.0</v>
      </c>
      <c r="R41" s="91">
        <v>40.0</v>
      </c>
      <c r="S41" s="93" t="s">
        <v>262</v>
      </c>
    </row>
    <row r="42">
      <c r="A42" s="95"/>
      <c r="B42" s="91" t="s">
        <v>264</v>
      </c>
      <c r="C42" s="92">
        <v>62000.0</v>
      </c>
      <c r="D42" s="91">
        <v>45.0</v>
      </c>
      <c r="E42" s="93" t="s">
        <v>292</v>
      </c>
      <c r="H42" s="95"/>
      <c r="I42" s="91" t="s">
        <v>264</v>
      </c>
      <c r="J42" s="92">
        <v>62000.0</v>
      </c>
      <c r="K42" s="91">
        <v>45.0</v>
      </c>
      <c r="L42" s="93" t="s">
        <v>292</v>
      </c>
      <c r="O42" s="95"/>
      <c r="P42" s="91" t="s">
        <v>264</v>
      </c>
      <c r="Q42" s="92">
        <v>62000.0</v>
      </c>
      <c r="R42" s="91">
        <v>60.0</v>
      </c>
      <c r="S42" s="93" t="s">
        <v>265</v>
      </c>
    </row>
    <row r="43">
      <c r="A43" s="96" t="s">
        <v>302</v>
      </c>
      <c r="B43" s="91" t="s">
        <v>255</v>
      </c>
      <c r="C43" s="92">
        <v>75000.0</v>
      </c>
      <c r="D43" s="91">
        <v>100.0</v>
      </c>
      <c r="E43" s="93" t="s">
        <v>268</v>
      </c>
      <c r="H43" s="96" t="s">
        <v>302</v>
      </c>
      <c r="I43" s="91" t="s">
        <v>255</v>
      </c>
      <c r="J43" s="92">
        <v>75000.0</v>
      </c>
      <c r="K43" s="91">
        <v>110.0</v>
      </c>
      <c r="L43" s="93" t="s">
        <v>280</v>
      </c>
      <c r="O43" s="96" t="s">
        <v>302</v>
      </c>
      <c r="P43" s="91" t="s">
        <v>255</v>
      </c>
      <c r="Q43" s="92">
        <v>75000.0</v>
      </c>
      <c r="R43" s="91">
        <v>150.0</v>
      </c>
      <c r="S43" s="93" t="s">
        <v>303</v>
      </c>
    </row>
    <row r="44">
      <c r="A44" s="94"/>
      <c r="B44" s="91" t="s">
        <v>258</v>
      </c>
      <c r="C44" s="92">
        <v>95000.0</v>
      </c>
      <c r="D44" s="91">
        <v>100.0</v>
      </c>
      <c r="E44" s="93" t="s">
        <v>270</v>
      </c>
      <c r="H44" s="94"/>
      <c r="I44" s="91" t="s">
        <v>258</v>
      </c>
      <c r="J44" s="92">
        <v>95000.0</v>
      </c>
      <c r="K44" s="91">
        <v>110.0</v>
      </c>
      <c r="L44" s="93" t="s">
        <v>282</v>
      </c>
      <c r="O44" s="94"/>
      <c r="P44" s="91" t="s">
        <v>258</v>
      </c>
      <c r="Q44" s="92">
        <v>95000.0</v>
      </c>
      <c r="R44" s="91">
        <v>150.0</v>
      </c>
      <c r="S44" s="93" t="s">
        <v>304</v>
      </c>
    </row>
    <row r="45">
      <c r="A45" s="94"/>
      <c r="B45" s="91" t="s">
        <v>261</v>
      </c>
      <c r="C45" s="92">
        <v>155000.0</v>
      </c>
      <c r="D45" s="91">
        <v>30.0</v>
      </c>
      <c r="E45" s="93" t="s">
        <v>272</v>
      </c>
      <c r="H45" s="94"/>
      <c r="I45" s="91" t="s">
        <v>261</v>
      </c>
      <c r="J45" s="92">
        <v>155000.0</v>
      </c>
      <c r="K45" s="91">
        <v>30.0</v>
      </c>
      <c r="L45" s="93" t="s">
        <v>272</v>
      </c>
      <c r="O45" s="94"/>
      <c r="P45" s="91" t="s">
        <v>261</v>
      </c>
      <c r="Q45" s="92">
        <v>155000.0</v>
      </c>
      <c r="R45" s="91">
        <v>50.0</v>
      </c>
      <c r="S45" s="93" t="s">
        <v>298</v>
      </c>
    </row>
    <row r="46">
      <c r="A46" s="95"/>
      <c r="B46" s="91" t="s">
        <v>264</v>
      </c>
      <c r="C46" s="92">
        <v>62000.0</v>
      </c>
      <c r="D46" s="91">
        <v>50.0</v>
      </c>
      <c r="E46" s="93" t="s">
        <v>273</v>
      </c>
      <c r="H46" s="95"/>
      <c r="I46" s="91" t="s">
        <v>264</v>
      </c>
      <c r="J46" s="92">
        <v>62000.0</v>
      </c>
      <c r="K46" s="91">
        <v>50.0</v>
      </c>
      <c r="L46" s="93" t="s">
        <v>273</v>
      </c>
      <c r="O46" s="95"/>
      <c r="P46" s="91" t="s">
        <v>264</v>
      </c>
      <c r="Q46" s="92">
        <v>62000.0</v>
      </c>
      <c r="R46" s="91">
        <v>70.0</v>
      </c>
      <c r="S46" s="93" t="s">
        <v>299</v>
      </c>
    </row>
    <row r="47">
      <c r="A47" s="96" t="s">
        <v>305</v>
      </c>
      <c r="B47" s="91" t="s">
        <v>255</v>
      </c>
      <c r="C47" s="92">
        <v>75000.0</v>
      </c>
      <c r="D47" s="91">
        <v>120.0</v>
      </c>
      <c r="E47" s="93" t="s">
        <v>289</v>
      </c>
      <c r="H47" s="96" t="s">
        <v>305</v>
      </c>
      <c r="I47" s="91" t="s">
        <v>255</v>
      </c>
      <c r="J47" s="92">
        <v>75000.0</v>
      </c>
      <c r="K47" s="91">
        <v>130.0</v>
      </c>
      <c r="L47" s="93" t="s">
        <v>269</v>
      </c>
      <c r="O47" s="96" t="s">
        <v>305</v>
      </c>
      <c r="P47" s="91" t="s">
        <v>255</v>
      </c>
      <c r="Q47" s="92">
        <v>75000.0</v>
      </c>
      <c r="R47" s="91">
        <v>200.0</v>
      </c>
      <c r="S47" s="93" t="s">
        <v>306</v>
      </c>
    </row>
    <row r="48">
      <c r="A48" s="94"/>
      <c r="B48" s="91" t="s">
        <v>258</v>
      </c>
      <c r="C48" s="92">
        <v>95000.0</v>
      </c>
      <c r="D48" s="91">
        <v>120.0</v>
      </c>
      <c r="E48" s="93" t="s">
        <v>291</v>
      </c>
      <c r="H48" s="94"/>
      <c r="I48" s="91" t="s">
        <v>258</v>
      </c>
      <c r="J48" s="92">
        <v>95000.0</v>
      </c>
      <c r="K48" s="91">
        <v>130.0</v>
      </c>
      <c r="L48" s="93" t="s">
        <v>271</v>
      </c>
      <c r="O48" s="94"/>
      <c r="P48" s="91" t="s">
        <v>258</v>
      </c>
      <c r="Q48" s="92">
        <v>95000.0</v>
      </c>
      <c r="R48" s="91">
        <v>200.0</v>
      </c>
      <c r="S48" s="93" t="s">
        <v>307</v>
      </c>
    </row>
    <row r="49">
      <c r="A49" s="94"/>
      <c r="B49" s="91" t="s">
        <v>261</v>
      </c>
      <c r="C49" s="92">
        <v>155000.0</v>
      </c>
      <c r="D49" s="91">
        <v>35.0</v>
      </c>
      <c r="E49" s="93" t="s">
        <v>308</v>
      </c>
      <c r="H49" s="94"/>
      <c r="I49" s="91" t="s">
        <v>261</v>
      </c>
      <c r="J49" s="92">
        <v>155000.0</v>
      </c>
      <c r="K49" s="91">
        <v>40.0</v>
      </c>
      <c r="L49" s="93" t="s">
        <v>262</v>
      </c>
      <c r="O49" s="94"/>
      <c r="P49" s="91" t="s">
        <v>261</v>
      </c>
      <c r="Q49" s="92">
        <v>155000.0</v>
      </c>
      <c r="R49" s="91">
        <v>65.0</v>
      </c>
      <c r="S49" s="93" t="s">
        <v>309</v>
      </c>
    </row>
    <row r="50">
      <c r="A50" s="95"/>
      <c r="B50" s="91" t="s">
        <v>264</v>
      </c>
      <c r="C50" s="92">
        <v>62000.0</v>
      </c>
      <c r="D50" s="91">
        <v>55.0</v>
      </c>
      <c r="E50" s="93" t="s">
        <v>310</v>
      </c>
      <c r="H50" s="95"/>
      <c r="I50" s="91" t="s">
        <v>264</v>
      </c>
      <c r="J50" s="92">
        <v>62000.0</v>
      </c>
      <c r="K50" s="91">
        <v>60.0</v>
      </c>
      <c r="L50" s="93" t="s">
        <v>265</v>
      </c>
      <c r="O50" s="95"/>
      <c r="P50" s="91" t="s">
        <v>264</v>
      </c>
      <c r="Q50" s="92">
        <v>62000.0</v>
      </c>
      <c r="R50" s="91">
        <v>85.0</v>
      </c>
      <c r="S50" s="93" t="s">
        <v>311</v>
      </c>
    </row>
    <row r="51">
      <c r="A51" s="97" t="s">
        <v>312</v>
      </c>
      <c r="B51" s="97"/>
      <c r="C51" s="97"/>
      <c r="D51" s="98" t="s">
        <v>313</v>
      </c>
      <c r="E51" s="99">
        <f>SUM(B56:B59)</f>
        <v>118075000</v>
      </c>
      <c r="H51" s="97" t="s">
        <v>312</v>
      </c>
      <c r="I51" s="97"/>
      <c r="J51" s="97"/>
      <c r="K51" s="97" t="s">
        <v>314</v>
      </c>
      <c r="L51" s="100" t="s">
        <v>315</v>
      </c>
      <c r="O51" s="97" t="s">
        <v>312</v>
      </c>
      <c r="P51" s="97"/>
      <c r="Q51" s="97"/>
      <c r="R51" s="97" t="s">
        <v>316</v>
      </c>
      <c r="S51" s="99">
        <v>3.9692E8</v>
      </c>
    </row>
    <row r="54">
      <c r="A54" s="101" t="s">
        <v>317</v>
      </c>
      <c r="B54" s="2"/>
      <c r="C54" s="2"/>
      <c r="D54" s="3"/>
    </row>
    <row r="55">
      <c r="A55" s="102" t="s">
        <v>318</v>
      </c>
      <c r="B55" s="102" t="s">
        <v>319</v>
      </c>
      <c r="C55" s="102" t="s">
        <v>320</v>
      </c>
      <c r="D55" s="102" t="s">
        <v>321</v>
      </c>
    </row>
    <row r="56">
      <c r="A56" s="91" t="s">
        <v>255</v>
      </c>
      <c r="B56" s="103">
        <v>6.15E7</v>
      </c>
      <c r="C56" s="103" t="s">
        <v>322</v>
      </c>
      <c r="D56" s="103">
        <v>1.215E8</v>
      </c>
    </row>
    <row r="57">
      <c r="A57" s="91" t="s">
        <v>258</v>
      </c>
      <c r="B57" s="103" t="s">
        <v>323</v>
      </c>
      <c r="C57" s="103" t="s">
        <v>324</v>
      </c>
      <c r="D57" s="103">
        <v>1.539E8</v>
      </c>
    </row>
    <row r="58">
      <c r="A58" s="91" t="s">
        <v>261</v>
      </c>
      <c r="B58" s="103">
        <v>3.4875E7</v>
      </c>
      <c r="C58" s="103" t="s">
        <v>325</v>
      </c>
      <c r="D58" s="103">
        <v>7.75E7</v>
      </c>
    </row>
    <row r="59">
      <c r="A59" s="91" t="s">
        <v>264</v>
      </c>
      <c r="B59" s="103">
        <v>2.17E7</v>
      </c>
      <c r="C59" s="104" t="s">
        <v>326</v>
      </c>
      <c r="D59" s="105">
        <v>4.402E7</v>
      </c>
    </row>
    <row r="60">
      <c r="A60" s="106" t="s">
        <v>226</v>
      </c>
      <c r="B60" s="107" t="s">
        <v>327</v>
      </c>
      <c r="C60" s="107" t="s">
        <v>315</v>
      </c>
      <c r="D60" s="108">
        <v>3.9692E8</v>
      </c>
    </row>
  </sheetData>
  <mergeCells count="40">
    <mergeCell ref="A1:E1"/>
    <mergeCell ref="H1:L1"/>
    <mergeCell ref="O1:S1"/>
    <mergeCell ref="A3:A6"/>
    <mergeCell ref="H3:H6"/>
    <mergeCell ref="A7:A10"/>
    <mergeCell ref="O11:O14"/>
    <mergeCell ref="H35:H38"/>
    <mergeCell ref="H39:H42"/>
    <mergeCell ref="H43:H46"/>
    <mergeCell ref="H47:H50"/>
    <mergeCell ref="H7:H10"/>
    <mergeCell ref="H11:H14"/>
    <mergeCell ref="H15:H18"/>
    <mergeCell ref="H19:H22"/>
    <mergeCell ref="H23:H26"/>
    <mergeCell ref="H27:H30"/>
    <mergeCell ref="H31:H34"/>
    <mergeCell ref="O35:O38"/>
    <mergeCell ref="O39:O42"/>
    <mergeCell ref="O43:O46"/>
    <mergeCell ref="O47:O50"/>
    <mergeCell ref="O3:O6"/>
    <mergeCell ref="O7:O10"/>
    <mergeCell ref="O15:O18"/>
    <mergeCell ref="O19:O22"/>
    <mergeCell ref="O23:O26"/>
    <mergeCell ref="O27:O30"/>
    <mergeCell ref="O31:O34"/>
    <mergeCell ref="A39:A42"/>
    <mergeCell ref="A43:A46"/>
    <mergeCell ref="A47:A50"/>
    <mergeCell ref="A54:D54"/>
    <mergeCell ref="A11:A14"/>
    <mergeCell ref="A15:A18"/>
    <mergeCell ref="A19:A22"/>
    <mergeCell ref="A23:A26"/>
    <mergeCell ref="A27:A30"/>
    <mergeCell ref="A31:A34"/>
    <mergeCell ref="A35:A3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63"/>
    <col customWidth="1" min="3" max="3" width="28.88"/>
    <col customWidth="1" min="4" max="4" width="26.88"/>
    <col customWidth="1" min="5" max="5" width="23.63"/>
    <col customWidth="1" min="6" max="7" width="26.88"/>
  </cols>
  <sheetData>
    <row r="1">
      <c r="A1" s="109" t="s">
        <v>328</v>
      </c>
      <c r="B1" s="2"/>
      <c r="C1" s="2"/>
      <c r="D1" s="2"/>
      <c r="E1" s="2"/>
      <c r="F1" s="2"/>
      <c r="G1" s="3"/>
    </row>
    <row r="2">
      <c r="A2" s="110" t="s">
        <v>329</v>
      </c>
      <c r="B2" s="110" t="s">
        <v>330</v>
      </c>
      <c r="C2" s="111" t="s">
        <v>331</v>
      </c>
      <c r="D2" s="112" t="s">
        <v>255</v>
      </c>
      <c r="E2" s="112" t="s">
        <v>258</v>
      </c>
      <c r="F2" s="112" t="s">
        <v>261</v>
      </c>
      <c r="G2" s="112" t="s">
        <v>264</v>
      </c>
    </row>
    <row r="3">
      <c r="A3" s="113">
        <v>1.0</v>
      </c>
      <c r="B3" s="114" t="s">
        <v>332</v>
      </c>
      <c r="C3" s="114" t="s">
        <v>333</v>
      </c>
      <c r="D3" s="19" t="s">
        <v>334</v>
      </c>
      <c r="E3" s="19" t="s">
        <v>335</v>
      </c>
      <c r="F3" s="19">
        <v>155000.0</v>
      </c>
      <c r="G3" s="19">
        <v>62000.0</v>
      </c>
    </row>
    <row r="4">
      <c r="A4" s="113">
        <v>2.0</v>
      </c>
      <c r="B4" s="114" t="s">
        <v>336</v>
      </c>
      <c r="C4" s="114" t="s">
        <v>333</v>
      </c>
      <c r="D4" s="115">
        <v>42.0</v>
      </c>
      <c r="E4" s="115">
        <v>47.0</v>
      </c>
      <c r="F4" s="115">
        <v>85.0</v>
      </c>
      <c r="G4" s="115">
        <v>35.0</v>
      </c>
    </row>
    <row r="5">
      <c r="A5" s="113">
        <v>3.0</v>
      </c>
      <c r="B5" s="114" t="s">
        <v>337</v>
      </c>
      <c r="C5" s="114" t="s">
        <v>333</v>
      </c>
      <c r="D5" s="116">
        <v>33000.0</v>
      </c>
      <c r="E5" s="116">
        <v>48000.0</v>
      </c>
      <c r="F5" s="116">
        <v>70000.0</v>
      </c>
      <c r="G5" s="117">
        <v>27000.0</v>
      </c>
    </row>
    <row r="6">
      <c r="A6" s="113">
        <v>4.0</v>
      </c>
      <c r="B6" s="114" t="s">
        <v>338</v>
      </c>
      <c r="C6" s="114" t="s">
        <v>339</v>
      </c>
      <c r="D6" s="118">
        <v>0.4</v>
      </c>
      <c r="E6" s="118">
        <v>0.4</v>
      </c>
      <c r="F6" s="118">
        <v>0.1</v>
      </c>
      <c r="G6" s="118">
        <v>0.1</v>
      </c>
    </row>
    <row r="7">
      <c r="A7" s="113">
        <v>5.0</v>
      </c>
      <c r="B7" s="114" t="s">
        <v>340</v>
      </c>
      <c r="C7" s="114" t="s">
        <v>333</v>
      </c>
      <c r="D7" s="116">
        <v>13200.0</v>
      </c>
      <c r="E7" s="116">
        <v>19200.0</v>
      </c>
      <c r="F7" s="116">
        <v>7000.0</v>
      </c>
      <c r="G7" s="116">
        <v>2700.0</v>
      </c>
    </row>
    <row r="8">
      <c r="A8" s="113">
        <v>6.0</v>
      </c>
      <c r="B8" s="24" t="s">
        <v>341</v>
      </c>
      <c r="C8" s="114" t="s">
        <v>333</v>
      </c>
      <c r="D8" s="119">
        <v>42100.0</v>
      </c>
      <c r="E8" s="2"/>
      <c r="F8" s="2"/>
      <c r="G8" s="3"/>
    </row>
    <row r="9">
      <c r="A9" s="113">
        <v>7.0</v>
      </c>
      <c r="B9" s="114" t="s">
        <v>342</v>
      </c>
      <c r="C9" s="114" t="s">
        <v>333</v>
      </c>
      <c r="D9" s="116">
        <v>30000.0</v>
      </c>
      <c r="E9" s="116">
        <v>38000.0</v>
      </c>
      <c r="F9" s="116">
        <v>15500.0</v>
      </c>
      <c r="G9" s="116">
        <v>6200.0</v>
      </c>
    </row>
    <row r="10">
      <c r="A10" s="113">
        <v>8.0</v>
      </c>
      <c r="B10" s="24" t="s">
        <v>343</v>
      </c>
      <c r="C10" s="114" t="s">
        <v>333</v>
      </c>
      <c r="D10" s="120">
        <v>89700.0</v>
      </c>
      <c r="E10" s="2"/>
      <c r="F10" s="2"/>
      <c r="G10" s="3"/>
    </row>
    <row r="11">
      <c r="A11" s="113">
        <v>9.0</v>
      </c>
      <c r="B11" s="114" t="s">
        <v>344</v>
      </c>
      <c r="C11" s="114" t="s">
        <v>345</v>
      </c>
      <c r="D11" s="121">
        <v>65.0</v>
      </c>
      <c r="E11" s="2"/>
      <c r="F11" s="2"/>
      <c r="G11" s="3"/>
    </row>
    <row r="12">
      <c r="A12" s="113">
        <v>10.0</v>
      </c>
      <c r="B12" s="114" t="s">
        <v>346</v>
      </c>
      <c r="C12" s="114" t="s">
        <v>345</v>
      </c>
      <c r="D12" s="122">
        <v>26.0</v>
      </c>
      <c r="E12" s="122">
        <v>26.0</v>
      </c>
      <c r="F12" s="122">
        <v>7.0</v>
      </c>
      <c r="G12" s="122">
        <v>7.0</v>
      </c>
    </row>
    <row r="13">
      <c r="A13" s="113">
        <v>11.0</v>
      </c>
      <c r="B13" s="114" t="s">
        <v>347</v>
      </c>
      <c r="C13" s="114" t="s">
        <v>333</v>
      </c>
      <c r="D13" s="116">
        <v>1950000.0</v>
      </c>
      <c r="E13" s="116">
        <v>2470000.0</v>
      </c>
      <c r="F13" s="116">
        <v>1085000.0</v>
      </c>
      <c r="G13" s="116">
        <v>434000.0</v>
      </c>
    </row>
    <row r="14">
      <c r="A14" s="113">
        <v>12.0</v>
      </c>
      <c r="B14" s="24" t="s">
        <v>348</v>
      </c>
      <c r="C14" s="114" t="s">
        <v>333</v>
      </c>
      <c r="D14" s="120">
        <v>5939000.0</v>
      </c>
      <c r="E14" s="2"/>
      <c r="F14" s="2"/>
      <c r="G14" s="3"/>
    </row>
  </sheetData>
  <mergeCells count="5">
    <mergeCell ref="A1:G1"/>
    <mergeCell ref="D8:G8"/>
    <mergeCell ref="D10:G10"/>
    <mergeCell ref="D11:G11"/>
    <mergeCell ref="D14:G14"/>
  </mergeCells>
  <drawing r:id="rId1"/>
</worksheet>
</file>